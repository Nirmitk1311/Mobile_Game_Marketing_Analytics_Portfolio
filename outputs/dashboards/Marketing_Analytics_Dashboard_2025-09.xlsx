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38c94caaf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0165227702145dd"/>
    <x:sheet xmlns:r="http://schemas.openxmlformats.org/officeDocument/2006/relationships" name="Campaign Performance" sheetId="2" r:id="R6140f3f539474433"/>
    <x:sheet xmlns:r="http://schemas.openxmlformats.org/officeDocument/2006/relationships" name="Creative Performance" sheetId="3" r:id="R94c9936500fa4bc0"/>
    <x:sheet xmlns:r="http://schemas.openxmlformats.org/officeDocument/2006/relationships" name="Retention" sheetId="4" r:id="Ra6aa216ba57f4415"/>
    <x:sheet xmlns:r="http://schemas.openxmlformats.org/officeDocument/2006/relationships" name="Data Quality" sheetId="5" r:id="Ra02f8cd722874ad9"/>
    <x:sheet xmlns:r="http://schemas.openxmlformats.org/officeDocument/2006/relationships" name="Metric Definitions" sheetId="6" r:id="R33b5a61b066a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&quot;$&quot;#,##0"/>
    <x:numFmt numFmtId="203" formatCode="@"/>
    <x:numFmt numFmtId="204" formatCode="&quot;$&quot;#,##0.00"/>
    <x:numFmt numFmtId="205" formatCode="&quot;$&quot;0.00"/>
    <x:numFmt numFmtId="206" formatCode="0.0"/>
  </x:numFmts>
  <x:fonts count="7">
    <x:font>
      <x:sz val="11"/>
      <x:name val="Carlito"/>
    </x:font>
    <x:font>
      <x:b/>
      <x:sz val="20"/>
      <x:color rgb="FF1F4E78"/>
      <x:name val="Arial"/>
    </x:font>
    <x:font>
      <x:i/>
      <x:sz val="10"/>
      <x:color rgb="FF475569"/>
      <x:name val="Arial"/>
    </x:font>
    <x:font>
      <x:b/>
      <x:sz val="10"/>
      <x:color rgb="FF7F6000"/>
      <x:name val="Arial"/>
    </x:font>
    <x:font>
      <x:b/>
      <x:sz val="9"/>
      <x:color rgb="FF1F4E78"/>
      <x:name val="Arial"/>
    </x:font>
    <x:font>
      <x:b/>
      <x:sz val="15"/>
      <x:color rgb="FF172033"/>
      <x:name val="Arial"/>
    </x:font>
    <x:font>
      <x:b/>
      <x:sz val="9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64777f0f5641f3" /><Relationship Type="http://schemas.openxmlformats.org/officeDocument/2006/relationships/theme" Target="/xl/theme/theme1.xml" Id="R2a5fea18cc434281" /><Relationship Type="http://schemas.openxmlformats.org/officeDocument/2006/relationships/sharedStrings" Target="/xl/sharedStrings.xml" Id="R3ecfa17bbf7d4f28" /><Relationship Type="http://schemas.openxmlformats.org/officeDocument/2006/relationships/worksheet" Target="/xl/worksheets/sheet1.xml" Id="R00165227702145dd" /><Relationship Type="http://schemas.openxmlformats.org/officeDocument/2006/relationships/worksheet" Target="/xl/worksheets/sheet2.xml" Id="R6140f3f539474433" /><Relationship Type="http://schemas.openxmlformats.org/officeDocument/2006/relationships/worksheet" Target="/xl/worksheets/sheet3.xml" Id="R94c9936500fa4bc0" /><Relationship Type="http://schemas.openxmlformats.org/officeDocument/2006/relationships/worksheet" Target="/xl/worksheets/sheet4.xml" Id="Ra6aa216ba57f4415" /><Relationship Type="http://schemas.openxmlformats.org/officeDocument/2006/relationships/worksheet" Target="/xl/worksheets/sheet5.xml" Id="Ra02f8cd722874ad9" /><Relationship Type="http://schemas.openxmlformats.org/officeDocument/2006/relationships/worksheet" Target="/xl/worksheets/sheet6.xml" Id="R33b5a61b066a4d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8ff27eb0554c34" /><Relationship Type="http://schemas.openxmlformats.org/officeDocument/2006/relationships/chart" Target="/xl/drawings/charts/chart2.xml" Id="Re67785444d194546" /><Relationship Type="http://schemas.openxmlformats.org/officeDocument/2006/relationships/chart" Target="/xl/drawings/charts/chart3.xml" Id="R7717f10eca4c401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Portfolio retention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Retention</c:v>
          </c:tx>
          <c:marker>
            <c:symbol val="none"/>
          </c:marker>
          <c:cat>
            <c:strRef>
              <c:f>'Dashboard'!$A$14:$A$17</c:f>
              <c:strCache>
                <c:ptCount val="0"/>
              </c:strCache>
            </c:strRef>
          </c:cat>
          <c:val>
            <c:numRef>
              <c:f>'Dashboard'!$B$14:$B$17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D7 retention by campaign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D7 retention</c:v>
          </c:tx>
          <c:cat>
            <c:strRef>
              <c:f>'Dashboard'!$A$21:$A$28</c:f>
              <c:strCache>
                <c:ptCount val="0"/>
              </c:strCache>
            </c:strRef>
          </c:cat>
          <c:val>
            <c:numRef>
              <c:f>'Dashboard'!$B$21:$B$28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USD</c:v>
          </c:tx>
          <c:cat>
            <c:strRef>
              <c:f>'Dashboard'!$A$32:$A$33</c:f>
              <c:strCache>
                <c:ptCount val="0"/>
              </c:strCache>
            </c:strRef>
          </c:cat>
          <c:val>
            <c:numRef>
              <c:f>'Dashboard'!$B$32:$B$33</c:f>
              <c:numCache>
                <c:formatCode>"$"#,##0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8ff27eb0554c34"/>
        </a:graphicData>
      </a:graphic>
    </xdr:graphicFrame>
    <xdr:clientData/>
  </xdr:twoCellAnchor>
  <xdr:twoCellAnchor>
    <xdr:from>
      <xdr:col>10</xdr:col>
      <xdr:colOff>0</xdr:colOff>
      <xdr:row>12</xdr:row>
      <xdr:rowOff>0</xdr:rowOff>
    </xdr:from>
    <xdr:to>
      <xdr:col>18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7785444d194546"/>
        </a:graphicData>
      </a:graphic>
    </xdr:graphicFrame>
    <xdr:clientData/>
  </xdr:twoCellAnchor>
  <xdr:twoCellAnchor>
    <xdr:from>
      <xdr:col>3</xdr:col>
      <xdr:colOff>0</xdr:colOff>
      <xdr:row>29</xdr:row>
      <xdr:rowOff>0</xdr:rowOff>
    </xdr:from>
    <xdr:to>
      <xdr:col>10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17f10eca4c40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17d824560a47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" t="str">
        <x:v>Mobile Game Marketing Performance</x:v>
      </x:c>
    </x:row>
    <x:row r="2">
      <x:c r="A2" s="2" t="str">
        <x:v>September 2025 | Synthetic portfolio data</x:v>
      </x:c>
    </x:row>
    <x:row r="4">
      <x:c r="A4" s="4" t="str">
        <x:v>All names, identifiers and financial values in this workbook are fictional.</x:v>
      </x:c>
    </x:row>
    <x:row r="6">
      <x:c r="A6" s="8" t="str">
        <x:v>Acquired players</x:v>
      </x:c>
      <x:c r="C6" s="8" t="str">
        <x:v>Tracking rate</x:v>
      </x:c>
      <x:c r="E6" s="8" t="str">
        <x:v>D7 retention</x:v>
      </x:c>
      <x:c r="G6" s="8" t="str">
        <x:v>ROAS</x:v>
      </x:c>
    </x:row>
    <x:row r="7">
      <x:c r="A7" s="10" t="n">
        <x:v>1786</x:v>
      </x:c>
      <x:c r="C7" s="11" t="n">
        <x:v>0.9451287793952967</x:v>
      </x:c>
      <x:c r="E7" s="11" t="n">
        <x:v>0.103424178895877</x:v>
      </x:c>
      <x:c r="G7" s="11" t="n">
        <x:v>0.19898919895550338</x:v>
      </x:c>
    </x:row>
    <x:row r="9">
      <x:c r="A9" s="8" t="str">
        <x:v>Spend</x:v>
      </x:c>
      <x:c r="C9" s="8" t="str">
        <x:v>Total revenue</x:v>
      </x:c>
      <x:c r="E9" s="8" t="str">
        <x:v>D14 retention</x:v>
      </x:c>
      <x:c r="G9" s="8" t="str">
        <x:v>Validation</x:v>
      </x:c>
    </x:row>
    <x:row r="10">
      <x:c r="A10" s="12" t="n">
        <x:v>6066.08</x:v>
      </x:c>
      <x:c r="C10" s="12" t="n">
        <x:v>1207.0844</x:v>
      </x:c>
      <x:c r="E10" s="11" t="n">
        <x:v>0.05394990366088632</x:v>
      </x:c>
      <x:c r="G10" s="13" t="str">
        <x:v>PASS</x:v>
      </x:c>
    </x:row>
    <x:row r="13">
      <x:c r="A13" s="19" t="str">
        <x:v>Return day</x:v>
      </x:c>
      <x:c r="B13" s="19" t="str">
        <x:v>Retention</x:v>
      </x:c>
    </x:row>
    <x:row r="14">
      <x:c r="A14" t="str">
        <x:v>D1</x:v>
      </x:c>
      <x:c r="B14" s="20" t="n">
        <x:v>0.37946943483275664</x:v>
      </x:c>
    </x:row>
    <x:row r="15">
      <x:c r="A15" t="str">
        <x:v>D3</x:v>
      </x:c>
      <x:c r="B15" s="20" t="n">
        <x:v>0.20257826887661143</x:v>
      </x:c>
    </x:row>
    <x:row r="16">
      <x:c r="A16" t="str">
        <x:v>D7</x:v>
      </x:c>
      <x:c r="B16" s="20" t="n">
        <x:v>0.103424178895877</x:v>
      </x:c>
    </x:row>
    <x:row r="17">
      <x:c r="A17" t="str">
        <x:v>D14</x:v>
      </x:c>
      <x:c r="B17" s="20" t="n">
        <x:v>0.05394990366088632</x:v>
      </x:c>
    </x:row>
    <x:row r="20">
      <x:c r="A20" s="19" t="str">
        <x:v>Campaign</x:v>
      </x:c>
      <x:c r="B20" s="19" t="str">
        <x:v>D7 retention</x:v>
      </x:c>
    </x:row>
    <x:row r="21">
      <x:c r="A21" t="str">
        <x:v>Store Intent</x:v>
      </x:c>
      <x:c r="B21" s="20" t="n">
        <x:v>0.11659192825112108</x:v>
      </x:c>
    </x:row>
    <x:row r="22">
      <x:c r="A22" t="str">
        <x:v>Playable Premium</x:v>
      </x:c>
      <x:c r="B22" s="20" t="n">
        <x:v>0.14347826086956522</x:v>
      </x:c>
    </x:row>
    <x:row r="23">
      <x:c r="A23" t="str">
        <x:v>Playable Broad</x:v>
      </x:c>
      <x:c r="B23" s="20" t="n">
        <x:v>0.09797297297297297</x:v>
      </x:c>
    </x:row>
    <x:row r="24">
      <x:c r="A24" t="str">
        <x:v>Social Gameplay</x:v>
      </x:c>
      <x:c r="B24" s="20" t="n">
        <x:v>0.10697674418604651</x:v>
      </x:c>
    </x:row>
    <x:row r="25">
      <x:c r="A25" t="str">
        <x:v>Search Value North</x:v>
      </x:c>
      <x:c r="B25" s="20" t="n">
        <x:v>0.125</x:v>
      </x:c>
    </x:row>
    <x:row r="26">
      <x:c r="A26" t="str">
        <x:v>Search Value Global</x:v>
      </x:c>
      <x:c r="B26" s="20" t="n">
        <x:v>0.05813953488372093</x:v>
      </x:c>
    </x:row>
    <x:row r="27">
      <x:c r="A27" t="str">
        <x:v>Social Lifestyle</x:v>
      </x:c>
      <x:c r="B27" s="20" t="n">
        <x:v>0.043478260869565216</x:v>
      </x:c>
    </x:row>
    <x:row r="28">
      <x:c r="A28" t="str">
        <x:v>Discovery Rewarded</x:v>
      </x:c>
      <x:c r="B28" s="20" t="n">
        <x:v>0.06060606060606061</x:v>
      </x:c>
    </x:row>
    <x:row r="31">
      <x:c r="A31" s="19" t="str">
        <x:v>Revenue type</x:v>
      </x:c>
      <x:c r="B31" s="19" t="str">
        <x:v>USD</x:v>
      </x:c>
    </x:row>
    <x:row r="32">
      <x:c r="A32" t="str">
        <x:v>Advertising</x:v>
      </x:c>
      <x:c r="B32" s="24" t="n">
        <x:v>273.2644</x:v>
      </x:c>
    </x:row>
    <x:row r="33">
      <x:c r="A33" t="str">
        <x:v>Purchases</x:v>
      </x:c>
      <x:c r="B33" s="24" t="n">
        <x:v>933.8199999999999</x:v>
      </x:c>
    </x:row>
  </x:sheetData>
  <x:mergeCells>
    <x:mergeCell ref="A1:H1"/>
    <x:mergeCell ref="A2:H2"/>
    <x:mergeCell ref="A4:H4"/>
  </x:mergeCells>
  <x:pageMargins left="0.7" right="0.7" top="0.75" bottom="0.75" header="0.3" footer="0.3"/>
  <x:drawing xmlns:r="http://schemas.openxmlformats.org/officeDocument/2006/relationships" r:id="Rfb17d824560a470c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</x:cols>
  <x:sheetData>
    <x:row r="1">
      <x:c r="A1" s="1" t="str">
        <x:v>Mobile Game Marketing Performance</x:v>
      </x:c>
    </x:row>
    <x:row r="2">
      <x:c r="A2" s="2" t="str">
        <x:v>September 2025 | Campaign economics and player quality</x:v>
      </x:c>
    </x:row>
    <x:row r="4">
      <x:c r="A4" s="19" t="str">
        <x:v>Campaign</x:v>
      </x:c>
      <x:c r="B4" s="19" t="str">
        <x:v>Source</x:v>
      </x:c>
      <x:c r="C4" s="19" t="str">
        <x:v>Platform</x:v>
      </x:c>
      <x:c r="D4" s="19" t="str">
        <x:v>Lifecycle</x:v>
      </x:c>
      <x:c r="E4" s="19" t="str">
        <x:v>Impressions</x:v>
      </x:c>
      <x:c r="F4" s="19" t="str">
        <x:v>Clicks</x:v>
      </x:c>
      <x:c r="G4" s="19" t="str">
        <x:v>Players</x:v>
      </x:c>
      <x:c r="H4" s="19" t="str">
        <x:v>Spend</x:v>
      </x:c>
      <x:c r="I4" s="19" t="str">
        <x:v>Revenue</x:v>
      </x:c>
      <x:c r="J4" s="19" t="str">
        <x:v>D1 eligible</x:v>
      </x:c>
      <x:c r="K4" s="19" t="str">
        <x:v>D1 returned</x:v>
      </x:c>
      <x:c r="L4" s="19" t="str">
        <x:v>D3 eligible</x:v>
      </x:c>
      <x:c r="M4" s="19" t="str">
        <x:v>D3 returned</x:v>
      </x:c>
      <x:c r="N4" s="19" t="str">
        <x:v>D7 eligible</x:v>
      </x:c>
      <x:c r="O4" s="19" t="str">
        <x:v>D7 returned</x:v>
      </x:c>
      <x:c r="P4" s="19" t="str">
        <x:v>D14 eligible</x:v>
      </x:c>
      <x:c r="Q4" s="19" t="str">
        <x:v>D14 returned</x:v>
      </x:c>
      <x:c r="R4" s="19" t="str">
        <x:v>Sessions</x:v>
      </x:c>
      <x:c r="S4" s="19" t="str">
        <x:v>Active days</x:v>
      </x:c>
      <x:c r="T4" s="19" t="str">
        <x:v>Levels</x:v>
      </x:c>
      <x:c r="U4" s="19" t="str">
        <x:v>Ad impressions</x:v>
      </x:c>
      <x:c r="V4" s="19" t="str">
        <x:v>CPI</x:v>
      </x:c>
      <x:c r="W4" s="19" t="str">
        <x:v>CTR</x:v>
      </x:c>
      <x:c r="X4" s="19" t="str">
        <x:v>D1 retention</x:v>
      </x:c>
      <x:c r="Y4" s="19" t="str">
        <x:v>D3 retention</x:v>
      </x:c>
      <x:c r="Z4" s="19" t="str">
        <x:v>D7 retention</x:v>
      </x:c>
      <x:c r="AA4" s="19" t="str">
        <x:v>D14 retention</x:v>
      </x:c>
      <x:c r="AB4" s="19" t="str">
        <x:v>Sessions/player</x:v>
      </x:c>
      <x:c r="AC4" s="19" t="str">
        <x:v>Levels/player</x:v>
      </x:c>
      <x:c r="AD4" s="19" t="str">
        <x:v>ROAS</x:v>
      </x:c>
      <x:c r="AE4" s="19" t="str">
        <x:v>Cost/D7 retained</x:v>
      </x:c>
    </x:row>
    <x:row r="5">
      <x:c r="A5" t="str">
        <x:v>Store Intent</x:v>
      </x:c>
      <x:c r="B5" t="str">
        <x:v>Store Search</x:v>
      </x:c>
      <x:c r="C5" t="str">
        <x:v>iOS</x:v>
      </x:c>
      <x:c r="D5" t="str">
        <x:v>active</x:v>
      </x:c>
      <x:c r="E5" t="n">
        <x:v>38459</x:v>
      </x:c>
      <x:c r="F5" t="n">
        <x:v>2563</x:v>
      </x:c>
      <x:c r="G5" t="n">
        <x:v>275</x:v>
      </x:c>
      <x:c r="H5" s="21" t="n">
        <x:v>1309.32</x:v>
      </x:c>
      <x:c r="I5" s="21" t="n">
        <x:v>262.1392</x:v>
      </x:c>
      <x:c r="J5" t="n">
        <x:v>272</x:v>
      </x:c>
      <x:c r="K5" t="n">
        <x:v>120</x:v>
      </x:c>
      <x:c r="L5" t="n">
        <x:v>254</x:v>
      </x:c>
      <x:c r="M5" t="n">
        <x:v>60</x:v>
      </x:c>
      <x:c r="N5" t="n">
        <x:v>223</x:v>
      </x:c>
      <x:c r="O5" t="n">
        <x:v>26</x:v>
      </x:c>
      <x:c r="P5" t="n">
        <x:v>166</x:v>
      </x:c>
      <x:c r="Q5" t="n">
        <x:v>11</x:v>
      </x:c>
      <x:c r="R5" t="n">
        <x:v>1429</x:v>
      </x:c>
      <x:c r="S5" t="n">
        <x:v>742</x:v>
      </x:c>
      <x:c r="T5" t="n">
        <x:v>7662</x:v>
      </x:c>
      <x:c r="U5" t="n">
        <x:v>2813</x:v>
      </x:c>
      <x:c r="V5" s="22" t="n">
        <x:f>IF(G5=0,"",H5/G5)</x:f>
        <x:v>4.761163636363636</x:v>
      </x:c>
      <x:c r="W5" s="20" t="n">
        <x:f>IF(E5=0,"",F5/E5)</x:f>
        <x:v>0.06664239839829429</x:v>
      </x:c>
      <x:c r="X5" s="20" t="n">
        <x:f>IF(J5=0,"",K5/J5)</x:f>
        <x:v>0.4411764705882353</x:v>
      </x:c>
      <x:c r="Y5" s="20" t="n">
        <x:f>IF(L5=0,"",M5/L5)</x:f>
        <x:v>0.23622047244094488</x:v>
      </x:c>
      <x:c r="Z5" s="20" t="n">
        <x:f>IF(N5=0,"",O5/N5)</x:f>
        <x:v>0.11659192825112108</x:v>
      </x:c>
      <x:c r="AA5" s="20" t="n">
        <x:f>IF(P5=0,"",Q5/P5)</x:f>
        <x:v>0.06626506024096386</x:v>
      </x:c>
      <x:c r="AB5" s="23" t="n">
        <x:f>IF(G5=0,"",R5/G5)</x:f>
        <x:v>5.196363636363636</x:v>
      </x:c>
      <x:c r="AC5" s="23" t="n">
        <x:f>IF(G5=0,"",T5/G5)</x:f>
        <x:v>27.861818181818183</x:v>
      </x:c>
      <x:c r="AD5" s="20" t="n">
        <x:f>IF(H5=0,"",I5/H5)</x:f>
        <x:v>0.2002101854397703</x:v>
      </x:c>
      <x:c r="AE5" s="22" t="n">
        <x:f>IF(O5=0,"",H5/O5)</x:f>
        <x:v>50.35846153846153</x:v>
      </x:c>
    </x:row>
    <x:row r="6">
      <x:c r="A6" t="str">
        <x:v>Playable Premium</x:v>
      </x:c>
      <x:c r="B6" t="str">
        <x:v>Game Network</x:v>
      </x:c>
      <x:c r="C6" t="str">
        <x:v>iOS</x:v>
      </x:c>
      <x:c r="D6" t="str">
        <x:v>active</x:v>
      </x:c>
      <x:c r="E6" t="n">
        <x:v>64487</x:v>
      </x:c>
      <x:c r="F6" t="n">
        <x:v>2767</x:v>
      </x:c>
      <x:c r="G6" t="n">
        <x:v>282</x:v>
      </x:c>
      <x:c r="H6" s="21" t="n">
        <x:v>1150.71</x:v>
      </x:c>
      <x:c r="I6" s="21" t="n">
        <x:v>213.1532</x:v>
      </x:c>
      <x:c r="J6" t="n">
        <x:v>269</x:v>
      </x:c>
      <x:c r="K6" t="n">
        <x:v>110</x:v>
      </x:c>
      <x:c r="L6" t="n">
        <x:v>252</x:v>
      </x:c>
      <x:c r="M6" t="n">
        <x:v>55</x:v>
      </x:c>
      <x:c r="N6" t="n">
        <x:v>230</x:v>
      </x:c>
      <x:c r="O6" t="n">
        <x:v>33</x:v>
      </x:c>
      <x:c r="P6" t="n">
        <x:v>164</x:v>
      </x:c>
      <x:c r="Q6" t="n">
        <x:v>9</x:v>
      </x:c>
      <x:c r="R6" t="n">
        <x:v>1377</x:v>
      </x:c>
      <x:c r="S6" t="n">
        <x:v>726</x:v>
      </x:c>
      <x:c r="T6" t="n">
        <x:v>7116</x:v>
      </x:c>
      <x:c r="U6" t="n">
        <x:v>2698</x:v>
      </x:c>
      <x:c r="V6" s="22" t="n">
        <x:f>IF(G6=0,"",H6/G6)</x:f>
        <x:v>4.080531914893617</x:v>
      </x:c>
      <x:c r="W6" s="20" t="n">
        <x:f>IF(E6=0,"",F6/E6)</x:f>
        <x:v>0.04290787290461644</x:v>
      </x:c>
      <x:c r="X6" s="20" t="n">
        <x:f>IF(J6=0,"",K6/J6)</x:f>
        <x:v>0.40892193308550184</x:v>
      </x:c>
      <x:c r="Y6" s="20" t="n">
        <x:f>IF(L6=0,"",M6/L6)</x:f>
        <x:v>0.21825396825396826</x:v>
      </x:c>
      <x:c r="Z6" s="20" t="n">
        <x:f>IF(N6=0,"",O6/N6)</x:f>
        <x:v>0.14347826086956522</x:v>
      </x:c>
      <x:c r="AA6" s="20" t="n">
        <x:f>IF(P6=0,"",Q6/P6)</x:f>
        <x:v>0.054878048780487805</x:v>
      </x:c>
      <x:c r="AB6" s="23" t="n">
        <x:f>IF(G6=0,"",R6/G6)</x:f>
        <x:v>4.882978723404255</x:v>
      </x:c>
      <x:c r="AC6" s="23" t="n">
        <x:f>IF(G6=0,"",T6/G6)</x:f>
        <x:v>25.23404255319149</x:v>
      </x:c>
      <x:c r="AD6" s="20" t="n">
        <x:f>IF(H6=0,"",I6/H6)</x:f>
        <x:v>0.18523624544846223</x:v>
      </x:c>
      <x:c r="AE6" s="22" t="n">
        <x:f>IF(O6=0,"",H6/O6)</x:f>
        <x:v>34.870000000000005</x:v>
      </x:c>
    </x:row>
    <x:row r="7">
      <x:c r="A7" t="str">
        <x:v>Playable Broad</x:v>
      </x:c>
      <x:c r="B7" t="str">
        <x:v>Game Network</x:v>
      </x:c>
      <x:c r="C7" t="str">
        <x:v>iOS</x:v>
      </x:c>
      <x:c r="D7" t="str">
        <x:v>active</x:v>
      </x:c>
      <x:c r="E7" t="n">
        <x:v>115392</x:v>
      </x:c>
      <x:c r="F7" t="n">
        <x:v>4306</x:v>
      </x:c>
      <x:c r="G7" t="n">
        <x:v>388</x:v>
      </x:c>
      <x:c r="H7" s="21" t="n">
        <x:v>1124.4</x:v>
      </x:c>
      <x:c r="I7" s="21" t="n">
        <x:v>303.13870000000003</x:v>
      </x:c>
      <x:c r="J7" t="n">
        <x:v>373</x:v>
      </x:c>
      <x:c r="K7" t="n">
        <x:v>145</x:v>
      </x:c>
      <x:c r="L7" t="n">
        <x:v>353</x:v>
      </x:c>
      <x:c r="M7" t="n">
        <x:v>88</x:v>
      </x:c>
      <x:c r="N7" t="n">
        <x:v>296</x:v>
      </x:c>
      <x:c r="O7" t="n">
        <x:v>29</x:v>
      </x:c>
      <x:c r="P7" t="n">
        <x:v>202</x:v>
      </x:c>
      <x:c r="Q7" t="n">
        <x:v>15</x:v>
      </x:c>
      <x:c r="R7" t="n">
        <x:v>1829</x:v>
      </x:c>
      <x:c r="S7" t="n">
        <x:v>996</x:v>
      </x:c>
      <x:c r="T7" t="n">
        <x:v>8677</x:v>
      </x:c>
      <x:c r="U7" t="n">
        <x:v>3263</x:v>
      </x:c>
      <x:c r="V7" s="22" t="n">
        <x:f>IF(G7=0,"",H7/G7)</x:f>
        <x:v>2.8979381443298973</x:v>
      </x:c>
      <x:c r="W7" s="20" t="n">
        <x:f>IF(E7=0,"",F7/E7)</x:f>
        <x:v>0.03731627842484748</x:v>
      </x:c>
      <x:c r="X7" s="20" t="n">
        <x:f>IF(J7=0,"",K7/J7)</x:f>
        <x:v>0.38873994638069703</x:v>
      </x:c>
      <x:c r="Y7" s="20" t="n">
        <x:f>IF(L7=0,"",M7/L7)</x:f>
        <x:v>0.24929178470254956</x:v>
      </x:c>
      <x:c r="Z7" s="20" t="n">
        <x:f>IF(N7=0,"",O7/N7)</x:f>
        <x:v>0.09797297297297297</x:v>
      </x:c>
      <x:c r="AA7" s="20" t="n">
        <x:f>IF(P7=0,"",Q7/P7)</x:f>
        <x:v>0.07425742574257425</x:v>
      </x:c>
      <x:c r="AB7" s="23" t="n">
        <x:f>IF(G7=0,"",R7/G7)</x:f>
        <x:v>4.713917525773196</x:v>
      </x:c>
      <x:c r="AC7" s="23" t="n">
        <x:f>IF(G7=0,"",T7/G7)</x:f>
        <x:v>22.36340206185567</x:v>
      </x:c>
      <x:c r="AD7" s="20" t="n">
        <x:f>IF(H7=0,"",I7/H7)</x:f>
        <x:v>0.26960040910707933</x:v>
      </x:c>
      <x:c r="AE7" s="22" t="n">
        <x:f>IF(O7=0,"",H7/O7)</x:f>
        <x:v>38.77241379310345</x:v>
      </x:c>
    </x:row>
    <x:row r="8">
      <x:c r="A8" t="str">
        <x:v>Social Gameplay</x:v>
      </x:c>
      <x:c r="B8" t="str">
        <x:v>Social Network</x:v>
      </x:c>
      <x:c r="C8" t="str">
        <x:v>iOS</x:v>
      </x:c>
      <x:c r="D8" t="str">
        <x:v>active</x:v>
      </x:c>
      <x:c r="E8" t="n">
        <x:v>65856</x:v>
      </x:c>
      <x:c r="F8" t="n">
        <x:v>3228</x:v>
      </x:c>
      <x:c r="G8" t="n">
        <x:v>286</x:v>
      </x:c>
      <x:c r="H8" s="21" t="n">
        <x:v>960.38</x:v>
      </x:c>
      <x:c r="I8" s="21" t="n">
        <x:v>178.53549999999998</x:v>
      </x:c>
      <x:c r="J8" t="n">
        <x:v>274</x:v>
      </x:c>
      <x:c r="K8" t="n">
        <x:v>93</x:v>
      </x:c>
      <x:c r="L8" t="n">
        <x:v>253</x:v>
      </x:c>
      <x:c r="M8" t="n">
        <x:v>41</x:v>
      </x:c>
      <x:c r="N8" t="n">
        <x:v>215</x:v>
      </x:c>
      <x:c r="O8" t="n">
        <x:v>23</x:v>
      </x:c>
      <x:c r="P8" t="n">
        <x:v>152</x:v>
      </x:c>
      <x:c r="Q8" t="n">
        <x:v>10</x:v>
      </x:c>
      <x:c r="R8" t="n">
        <x:v>1067</x:v>
      </x:c>
      <x:c r="S8" t="n">
        <x:v>628</x:v>
      </x:c>
      <x:c r="T8" t="n">
        <x:v>4679</x:v>
      </x:c>
      <x:c r="U8" t="n">
        <x:v>1567</x:v>
      </x:c>
      <x:c r="V8" s="22" t="n">
        <x:f>IF(G8=0,"",H8/G8)</x:f>
        <x:v>3.357972027972028</x:v>
      </x:c>
      <x:c r="W8" s="20" t="n">
        <x:f>IF(E8=0,"",F8/E8)</x:f>
        <x:v>0.04901603498542274</x:v>
      </x:c>
      <x:c r="X8" s="20" t="n">
        <x:f>IF(J8=0,"",K8/J8)</x:f>
        <x:v>0.33941605839416056</x:v>
      </x:c>
      <x:c r="Y8" s="20" t="n">
        <x:f>IF(L8=0,"",M8/L8)</x:f>
        <x:v>0.16205533596837945</x:v>
      </x:c>
      <x:c r="Z8" s="20" t="n">
        <x:f>IF(N8=0,"",O8/N8)</x:f>
        <x:v>0.10697674418604651</x:v>
      </x:c>
      <x:c r="AA8" s="20" t="n">
        <x:f>IF(P8=0,"",Q8/P8)</x:f>
        <x:v>0.06578947368421052</x:v>
      </x:c>
      <x:c r="AB8" s="23" t="n">
        <x:f>IF(G8=0,"",R8/G8)</x:f>
        <x:v>3.730769230769231</x:v>
      </x:c>
      <x:c r="AC8" s="23" t="n">
        <x:f>IF(G8=0,"",T8/G8)</x:f>
        <x:v>16.36013986013986</x:v>
      </x:c>
      <x:c r="AD8" s="20" t="n">
        <x:f>IF(H8=0,"",I8/H8)</x:f>
        <x:v>0.18590089339636393</x:v>
      </x:c>
      <x:c r="AE8" s="22" t="n">
        <x:f>IF(O8=0,"",H8/O8)</x:f>
        <x:v>41.75565217391304</x:v>
      </x:c>
    </x:row>
    <x:row r="9">
      <x:c r="A9" t="str">
        <x:v>Search Value North</x:v>
      </x:c>
      <x:c r="B9" t="str">
        <x:v>Search Network</x:v>
      </x:c>
      <x:c r="C9" t="str">
        <x:v>Android</x:v>
      </x:c>
      <x:c r="D9" t="str">
        <x:v>active</x:v>
      </x:c>
      <x:c r="E9" t="n">
        <x:v>74654</x:v>
      </x:c>
      <x:c r="F9" t="n">
        <x:v>2372</x:v>
      </x:c>
      <x:c r="G9" t="n">
        <x:v>206</x:v>
      </x:c>
      <x:c r="H9" s="21" t="n">
        <x:v>660.94</x:v>
      </x:c>
      <x:c r="I9" s="21" t="n">
        <x:v>95.6722</x:v>
      </x:c>
      <x:c r="J9" t="n">
        <x:v>202</x:v>
      </x:c>
      <x:c r="K9" t="n">
        <x:v>74</x:v>
      </x:c>
      <x:c r="L9" t="n">
        <x:v>186</x:v>
      </x:c>
      <x:c r="M9" t="n">
        <x:v>43</x:v>
      </x:c>
      <x:c r="N9" t="n">
        <x:v>160</x:v>
      </x:c>
      <x:c r="O9" t="n">
        <x:v>20</x:v>
      </x:c>
      <x:c r="P9" t="n">
        <x:v>112</x:v>
      </x:c>
      <x:c r="Q9" t="n">
        <x:v>8</x:v>
      </x:c>
      <x:c r="R9" t="n">
        <x:v>855</x:v>
      </x:c>
      <x:c r="S9" t="n">
        <x:v>475</x:v>
      </x:c>
      <x:c r="T9" t="n">
        <x:v>3960</x:v>
      </x:c>
      <x:c r="U9" t="n">
        <x:v>1440</x:v>
      </x:c>
      <x:c r="V9" s="22" t="n">
        <x:f>IF(G9=0,"",H9/G9)</x:f>
        <x:v>3.208446601941748</x:v>
      </x:c>
      <x:c r="W9" s="20" t="n">
        <x:f>IF(E9=0,"",F9/E9)</x:f>
        <x:v>0.03177324724730088</x:v>
      </x:c>
      <x:c r="X9" s="20" t="n">
        <x:f>IF(J9=0,"",K9/J9)</x:f>
        <x:v>0.36633663366336633</x:v>
      </x:c>
      <x:c r="Y9" s="20" t="n">
        <x:f>IF(L9=0,"",M9/L9)</x:f>
        <x:v>0.23118279569892472</x:v>
      </x:c>
      <x:c r="Z9" s="20" t="n">
        <x:f>IF(N9=0,"",O9/N9)</x:f>
        <x:v>0.125</x:v>
      </x:c>
      <x:c r="AA9" s="20" t="n">
        <x:f>IF(P9=0,"",Q9/P9)</x:f>
        <x:v>0.07142857142857142</x:v>
      </x:c>
      <x:c r="AB9" s="23" t="n">
        <x:f>IF(G9=0,"",R9/G9)</x:f>
        <x:v>4.150485436893204</x:v>
      </x:c>
      <x:c r="AC9" s="23" t="n">
        <x:f>IF(G9=0,"",T9/G9)</x:f>
        <x:v>19.223300970873787</x:v>
      </x:c>
      <x:c r="AD9" s="20" t="n">
        <x:f>IF(H9=0,"",I9/H9)</x:f>
        <x:v>0.14475171725118768</x:v>
      </x:c>
      <x:c r="AE9" s="22" t="n">
        <x:f>IF(O9=0,"",H9/O9)</x:f>
        <x:v>33.047000000000004</x:v>
      </x:c>
    </x:row>
    <x:row r="10">
      <x:c r="A10" t="str">
        <x:v>Search Value Global</x:v>
      </x:c>
      <x:c r="B10" t="str">
        <x:v>Search Network</x:v>
      </x:c>
      <x:c r="C10" t="str">
        <x:v>Android</x:v>
      </x:c>
      <x:c r="D10" t="str">
        <x:v>active</x:v>
      </x:c>
      <x:c r="E10" t="n">
        <x:v>104724</x:v>
      </x:c>
      <x:c r="F10" t="n">
        <x:v>2660</x:v>
      </x:c>
      <x:c r="G10" t="n">
        <x:v>214</x:v>
      </x:c>
      <x:c r="H10" s="21" t="n">
        <x:v>457.13</x:v>
      </x:c>
      <x:c r="I10" s="21" t="n">
        <x:v>110.73620000000001</x:v>
      </x:c>
      <x:c r="J10" t="n">
        <x:v>209</x:v>
      </x:c>
      <x:c r="K10" t="n">
        <x:v>76</x:v>
      </x:c>
      <x:c r="L10" t="n">
        <x:v>196</x:v>
      </x:c>
      <x:c r="M10" t="n">
        <x:v>27</x:v>
      </x:c>
      <x:c r="N10" t="n">
        <x:v>172</x:v>
      </x:c>
      <x:c r="O10" t="n">
        <x:v>10</x:v>
      </x:c>
      <x:c r="P10" t="n">
        <x:v>107</x:v>
      </x:c>
      <x:c r="Q10" t="n">
        <x:v>2</x:v>
      </x:c>
      <x:c r="R10" t="n">
        <x:v>694</x:v>
      </x:c>
      <x:c r="S10" t="n">
        <x:v>415</x:v>
      </x:c>
      <x:c r="T10" t="n">
        <x:v>2926</x:v>
      </x:c>
      <x:c r="U10" t="n">
        <x:v>968</x:v>
      </x:c>
      <x:c r="V10" s="22" t="n">
        <x:f>IF(G10=0,"",H10/G10)</x:f>
        <x:v>2.1361214953271026</x:v>
      </x:c>
      <x:c r="W10" s="20" t="n">
        <x:f>IF(E10=0,"",F10/E10)</x:f>
        <x:v>0.02540009930865895</x:v>
      </x:c>
      <x:c r="X10" s="20" t="n">
        <x:f>IF(J10=0,"",K10/J10)</x:f>
        <x:v>0.36363636363636365</x:v>
      </x:c>
      <x:c r="Y10" s="20" t="n">
        <x:f>IF(L10=0,"",M10/L10)</x:f>
        <x:v>0.1377551020408163</x:v>
      </x:c>
      <x:c r="Z10" s="20" t="n">
        <x:f>IF(N10=0,"",O10/N10)</x:f>
        <x:v>0.05813953488372093</x:v>
      </x:c>
      <x:c r="AA10" s="20" t="n">
        <x:f>IF(P10=0,"",Q10/P10)</x:f>
        <x:v>0.018691588785046728</x:v>
      </x:c>
      <x:c r="AB10" s="23" t="n">
        <x:f>IF(G10=0,"",R10/G10)</x:f>
        <x:v>3.2429906542056073</x:v>
      </x:c>
      <x:c r="AC10" s="23" t="n">
        <x:f>IF(G10=0,"",T10/G10)</x:f>
        <x:v>13.672897196261681</x:v>
      </x:c>
      <x:c r="AD10" s="20" t="n">
        <x:f>IF(H10=0,"",I10/H10)</x:f>
        <x:v>0.24224225056329712</x:v>
      </x:c>
      <x:c r="AE10" s="22" t="n">
        <x:f>IF(O10=0,"",H10/O10)</x:f>
        <x:v>45.713</x:v>
      </x:c>
    </x:row>
    <x:row r="11">
      <x:c r="A11" t="str">
        <x:v>Social Lifestyle</x:v>
      </x:c>
      <x:c r="B11" t="str">
        <x:v>Social Network</x:v>
      </x:c>
      <x:c r="C11" t="str">
        <x:v>iOS</x:v>
      </x:c>
      <x:c r="D11" t="str">
        <x:v>stopped</x:v>
      </x:c>
      <x:c r="E11" t="n">
        <x:v>13907</x:v>
      </x:c>
      <x:c r="F11" t="n">
        <x:v>763</x:v>
      </x:c>
      <x:c r="G11" t="n">
        <x:v>69</x:v>
      </x:c>
      <x:c r="H11" s="21" t="n">
        <x:v>254.82999999999998</x:v>
      </x:c>
      <x:c r="I11" s="21" t="n">
        <x:v>11.4992</x:v>
      </x:c>
      <x:c r="J11" t="n">
        <x:v>69</x:v>
      </x:c>
      <x:c r="K11" t="n">
        <x:v>21</x:v>
      </x:c>
      <x:c r="L11" t="n">
        <x:v>69</x:v>
      </x:c>
      <x:c r="M11" t="n">
        <x:v>9</x:v>
      </x:c>
      <x:c r="N11" t="n">
        <x:v>69</x:v>
      </x:c>
      <x:c r="O11" t="n">
        <x:v>3</x:v>
      </x:c>
      <x:c r="P11" t="n">
        <x:v>69</x:v>
      </x:c>
      <x:c r="Q11" t="n">
        <x:v>1</x:v>
      </x:c>
      <x:c r="R11" t="n">
        <x:v>238</x:v>
      </x:c>
      <x:c r="S11" t="n">
        <x:v>133</x:v>
      </x:c>
      <x:c r="T11" t="n">
        <x:v>901</x:v>
      </x:c>
      <x:c r="U11" t="n">
        <x:v>328</x:v>
      </x:c>
      <x:c r="V11" s="22" t="n">
        <x:f>IF(G11=0,"",H11/G11)</x:f>
        <x:v>3.6931884057971014</x:v>
      </x:c>
      <x:c r="W11" s="20" t="n">
        <x:f>IF(E11=0,"",F11/E11)</x:f>
        <x:v>0.054864456748400084</x:v>
      </x:c>
      <x:c r="X11" s="20" t="n">
        <x:f>IF(J11=0,"",K11/J11)</x:f>
        <x:v>0.30434782608695654</x:v>
      </x:c>
      <x:c r="Y11" s="20" t="n">
        <x:f>IF(L11=0,"",M11/L11)</x:f>
        <x:v>0.13043478260869565</x:v>
      </x:c>
      <x:c r="Z11" s="20" t="n">
        <x:f>IF(N11=0,"",O11/N11)</x:f>
        <x:v>0.043478260869565216</x:v>
      </x:c>
      <x:c r="AA11" s="20" t="n">
        <x:f>IF(P11=0,"",Q11/P11)</x:f>
        <x:v>0.014492753623188406</x:v>
      </x:c>
      <x:c r="AB11" s="23" t="n">
        <x:f>IF(G11=0,"",R11/G11)</x:f>
        <x:v>3.449275362318841</x:v>
      </x:c>
      <x:c r="AC11" s="23" t="n">
        <x:f>IF(G11=0,"",T11/G11)</x:f>
        <x:v>13.057971014492754</x:v>
      </x:c>
      <x:c r="AD11" s="20" t="n">
        <x:f>IF(H11=0,"",I11/H11)</x:f>
        <x:v>0.04512498528430719</x:v>
      </x:c>
      <x:c r="AE11" s="22" t="n">
        <x:f>IF(O11=0,"",H11/O11)</x:f>
        <x:v>84.94333333333333</x:v>
      </x:c>
    </x:row>
    <x:row r="12">
      <x:c r="A12" t="str">
        <x:v>Discovery Rewarded</x:v>
      </x:c>
      <x:c r="B12" t="str">
        <x:v>Discovery Network</x:v>
      </x:c>
      <x:c r="C12" t="str">
        <x:v>Android</x:v>
      </x:c>
      <x:c r="D12" t="str">
        <x:v>stopped</x:v>
      </x:c>
      <x:c r="E12" t="n">
        <x:v>17191</x:v>
      </x:c>
      <x:c r="F12" t="n">
        <x:v>1052</x:v>
      </x:c>
      <x:c r="G12" t="n">
        <x:v>66</x:v>
      </x:c>
      <x:c r="H12" s="21" t="n">
        <x:v>148.37</x:v>
      </x:c>
      <x:c r="I12" s="21" t="n">
        <x:v>32.2102</x:v>
      </x:c>
      <x:c r="J12" t="n">
        <x:v>66</x:v>
      </x:c>
      <x:c r="K12" t="n">
        <x:v>19</x:v>
      </x:c>
      <x:c r="L12" t="n">
        <x:v>66</x:v>
      </x:c>
      <x:c r="M12" t="n">
        <x:v>7</x:v>
      </x:c>
      <x:c r="N12" t="n">
        <x:v>66</x:v>
      </x:c>
      <x:c r="O12" t="n">
        <x:v>4</x:v>
      </x:c>
      <x:c r="P12" t="n">
        <x:v>66</x:v>
      </x:c>
      <x:c r="Q12" t="n">
        <x:v>0</x:v>
      </x:c>
      <x:c r="R12" t="n">
        <x:v>190</x:v>
      </x:c>
      <x:c r="S12" t="n">
        <x:v>119</x:v>
      </x:c>
      <x:c r="T12" t="n">
        <x:v>722</x:v>
      </x:c>
      <x:c r="U12" t="n">
        <x:v>249</x:v>
      </x:c>
      <x:c r="V12" s="22" t="n">
        <x:f>IF(G12=0,"",H12/G12)</x:f>
        <x:v>2.248030303030303</x:v>
      </x:c>
      <x:c r="W12" s="20" t="n">
        <x:f>IF(E12=0,"",F12/E12)</x:f>
        <x:v>0.061194811238438715</x:v>
      </x:c>
      <x:c r="X12" s="20" t="n">
        <x:f>IF(J12=0,"",K12/J12)</x:f>
        <x:v>0.2878787878787879</x:v>
      </x:c>
      <x:c r="Y12" s="20" t="n">
        <x:f>IF(L12=0,"",M12/L12)</x:f>
        <x:v>0.10606060606060606</x:v>
      </x:c>
      <x:c r="Z12" s="20" t="n">
        <x:f>IF(N12=0,"",O12/N12)</x:f>
        <x:v>0.06060606060606061</x:v>
      </x:c>
      <x:c r="AA12" s="20" t="n">
        <x:f>IF(P12=0,"",Q12/P12)</x:f>
        <x:v>0</x:v>
      </x:c>
      <x:c r="AB12" s="23" t="n">
        <x:f>IF(G12=0,"",R12/G12)</x:f>
        <x:v>2.878787878787879</x:v>
      </x:c>
      <x:c r="AC12" s="23" t="n">
        <x:f>IF(G12=0,"",T12/G12)</x:f>
        <x:v>10.93939393939394</x:v>
      </x:c>
      <x:c r="AD12" s="20" t="n">
        <x:f>IF(H12=0,"",I12/H12)</x:f>
        <x:v>0.21709375210622092</x:v>
      </x:c>
      <x:c r="AE12" s="22" t="n">
        <x:f>IF(O12=0,"",H12/O12)</x:f>
        <x:v>37.0925</x:v>
      </x:c>
    </x:row>
  </x:sheetData>
  <x:mergeCells>
    <x:mergeCell ref="A1:H1"/>
    <x:mergeCell ref="A2:H2"/>
  </x:mergeCells>
  <x:conditionalFormatting sqref="Z5:Z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D5:AD12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1" t="str">
        <x:v>Mobile Game Marketing Performance</x:v>
      </x:c>
    </x:row>
    <x:row r="2">
      <x:c r="A2" s="2" t="str">
        <x:v>September 2025 | Creative delivery and downstream quality</x:v>
      </x:c>
    </x:row>
    <x:row r="4">
      <x:c r="A4" s="19" t="str">
        <x:v>Creative</x:v>
      </x:c>
      <x:c r="B4" s="19" t="str">
        <x:v>Campaign</x:v>
      </x:c>
      <x:c r="C4" s="19" t="str">
        <x:v>Source</x:v>
      </x:c>
      <x:c r="D4" s="19" t="str">
        <x:v>Impressions</x:v>
      </x:c>
      <x:c r="E4" s="19" t="str">
        <x:v>Clicks</x:v>
      </x:c>
      <x:c r="F4" s="19" t="str">
        <x:v>Players</x:v>
      </x:c>
      <x:c r="G4" s="19" t="str">
        <x:v>Spend</x:v>
      </x:c>
      <x:c r="H4" s="19" t="str">
        <x:v>Revenue</x:v>
      </x:c>
      <x:c r="I4" s="19" t="str">
        <x:v>D7 eligible</x:v>
      </x:c>
      <x:c r="J4" s="19" t="str">
        <x:v>D7 returned</x:v>
      </x:c>
      <x:c r="K4" s="19" t="str">
        <x:v>Sessions</x:v>
      </x:c>
      <x:c r="L4" s="19" t="str">
        <x:v>Levels</x:v>
      </x:c>
      <x:c r="M4" s="19" t="str">
        <x:v>CPI</x:v>
      </x:c>
      <x:c r="N4" s="19" t="str">
        <x:v>CTR</x:v>
      </x:c>
      <x:c r="O4" s="19" t="str">
        <x:v>D7 retention</x:v>
      </x:c>
      <x:c r="P4" s="19" t="str">
        <x:v>Sessions/player</x:v>
      </x:c>
      <x:c r="Q4" s="19" t="str">
        <x:v>Levels/player</x:v>
      </x:c>
      <x:c r="R4" s="19" t="str">
        <x:v>ROAS</x:v>
      </x:c>
    </x:row>
    <x:row r="5">
      <x:c r="A5" t="str">
        <x:v>Progress Video H</x:v>
      </x:c>
      <x:c r="B5" t="str">
        <x:v>Store Intent</x:v>
      </x:c>
      <x:c r="C5" t="str">
        <x:v>Store Search</x:v>
      </x:c>
      <x:c r="D5" t="n">
        <x:v>8428</x:v>
      </x:c>
      <x:c r="E5" t="n">
        <x:v>615</x:v>
      </x:c>
      <x:c r="F5" t="n">
        <x:v>109</x:v>
      </x:c>
      <x:c r="G5" s="21" t="n">
        <x:v>278.16</x:v>
      </x:c>
      <x:c r="H5" s="21" t="n">
        <x:v>108.0384</x:v>
      </x:c>
      <x:c r="I5" t="n">
        <x:v>90</x:v>
      </x:c>
      <x:c r="J5" t="n">
        <x:v>13</x:v>
      </x:c>
      <x:c r="K5" t="n">
        <x:v>580</x:v>
      </x:c>
      <x:c r="L5" t="n">
        <x:v>3114</x:v>
      </x:c>
      <x:c r="M5" s="22" t="n">
        <x:f>IF(F5=0,"",G5/F5)</x:f>
        <x:v>2.5519266055045873</x:v>
      </x:c>
      <x:c r="N5" s="20" t="n">
        <x:f>IF(D5=0,"",E5/D5)</x:f>
        <x:v>0.07297104888467015</x:v>
      </x:c>
      <x:c r="O5" s="20" t="n">
        <x:f>IF(I5=0,"",J5/I5)</x:f>
        <x:v>0.14444444444444443</x:v>
      </x:c>
      <x:c r="P5" s="23" t="n">
        <x:f>IF(F5=0,"",K5/F5)</x:f>
        <x:v>5.321100917431193</x:v>
      </x:c>
      <x:c r="Q5" s="23" t="n">
        <x:f>IF(F5=0,"",L5/F5)</x:f>
        <x:v>28.568807339449542</x:v>
      </x:c>
      <x:c r="R5" s="20" t="n">
        <x:f>IF(G5=0,"",H5/G5)</x:f>
        <x:v>0.3884037963761863</x:v>
      </x:c>
    </x:row>
    <x:row r="6">
      <x:c r="A6" t="str">
        <x:v>Progress Video D</x:v>
      </x:c>
      <x:c r="B6" t="str">
        <x:v>Playable Premium</x:v>
      </x:c>
      <x:c r="C6" t="str">
        <x:v>Game Network</x:v>
      </x:c>
      <x:c r="D6" t="n">
        <x:v>7501</x:v>
      </x:c>
      <x:c r="E6" t="n">
        <x:v>577</x:v>
      </x:c>
      <x:c r="F6" t="n">
        <x:v>98</x:v>
      </x:c>
      <x:c r="G6" s="21" t="n">
        <x:v>218.89</x:v>
      </x:c>
      <x:c r="H6" s="21" t="n">
        <x:v>72.34</x:v>
      </x:c>
      <x:c r="I6" t="n">
        <x:v>85</x:v>
      </x:c>
      <x:c r="J6" t="n">
        <x:v>13</x:v>
      </x:c>
      <x:c r="K6" t="n">
        <x:v>450</x:v>
      </x:c>
      <x:c r="L6" t="n">
        <x:v>2366</x:v>
      </x:c>
      <x:c r="M6" s="22" t="n">
        <x:f>IF(F6=0,"",G6/F6)</x:f>
        <x:v>2.2335714285714285</x:v>
      </x:c>
      <x:c r="N6" s="20" t="n">
        <x:f>IF(D6=0,"",E6/D6)</x:f>
        <x:v>0.07692307692307693</x:v>
      </x:c>
      <x:c r="O6" s="20" t="n">
        <x:f>IF(I6=0,"",J6/I6)</x:f>
        <x:v>0.15294117647058825</x:v>
      </x:c>
      <x:c r="P6" s="23" t="n">
        <x:f>IF(F6=0,"",K6/F6)</x:f>
        <x:v>4.591836734693878</x:v>
      </x:c>
      <x:c r="Q6" s="23" t="n">
        <x:f>IF(F6=0,"",L6/F6)</x:f>
        <x:v>24.142857142857142</x:v>
      </x:c>
      <x:c r="R6" s="20" t="n">
        <x:f>IF(G6=0,"",H6/G6)</x:f>
        <x:v>0.3304856320526292</x:v>
      </x:c>
    </x:row>
    <x:row r="7">
      <x:c r="A7" t="str">
        <x:v>Playable Puzzle D</x:v>
      </x:c>
      <x:c r="B7" t="str">
        <x:v>Playable Premium</x:v>
      </x:c>
      <x:c r="C7" t="str">
        <x:v>Game Network</x:v>
      </x:c>
      <x:c r="D7" t="n">
        <x:v>7539</x:v>
      </x:c>
      <x:c r="E7" t="n">
        <x:v>586</x:v>
      </x:c>
      <x:c r="F7" t="n">
        <x:v>100</x:v>
      </x:c>
      <x:c r="G7" s="21" t="n">
        <x:v>215.82</x:v>
      </x:c>
      <x:c r="H7" s="21" t="n">
        <x:v>100.9011</x:v>
      </x:c>
      <x:c r="I7" t="n">
        <x:v>78</x:v>
      </x:c>
      <x:c r="J7" t="n">
        <x:v>10</x:v>
      </x:c>
      <x:c r="K7" t="n">
        <x:v>501</x:v>
      </x:c>
      <x:c r="L7" t="n">
        <x:v>2598</x:v>
      </x:c>
      <x:c r="M7" s="22" t="n">
        <x:f>IF(F7=0,"",G7/F7)</x:f>
        <x:v>2.1582</x:v>
      </x:c>
      <x:c r="N7" s="20" t="n">
        <x:f>IF(D7=0,"",E7/D7)</x:f>
        <x:v>0.07772914179599416</x:v>
      </x:c>
      <x:c r="O7" s="20" t="n">
        <x:f>IF(I7=0,"",J7/I7)</x:f>
        <x:v>0.1282051282051282</x:v>
      </x:c>
      <x:c r="P7" s="23" t="n">
        <x:f>IF(F7=0,"",K7/F7)</x:f>
        <x:v>5.01</x:v>
      </x:c>
      <x:c r="Q7" s="23" t="n">
        <x:f>IF(F7=0,"",L7/F7)</x:f>
        <x:v>25.98</x:v>
      </x:c>
      <x:c r="R7" s="20" t="n">
        <x:f>IF(G7=0,"",H7/G7)</x:f>
        <x:v>0.46752432582707815</x:v>
      </x:c>
    </x:row>
    <x:row r="8">
      <x:c r="A8" t="str">
        <x:v>Playable Puzzle H</x:v>
      </x:c>
      <x:c r="B8" t="str">
        <x:v>Store Intent</x:v>
      </x:c>
      <x:c r="C8" t="str">
        <x:v>Store Search</x:v>
      </x:c>
      <x:c r="D8" t="n">
        <x:v>6111</x:v>
      </x:c>
      <x:c r="E8" t="n">
        <x:v>476</x:v>
      </x:c>
      <x:c r="F8" t="n">
        <x:v>84</x:v>
      </x:c>
      <x:c r="G8" s="21" t="n">
        <x:v>210.72</x:v>
      </x:c>
      <x:c r="H8" s="21" t="n">
        <x:v>89.4586</x:v>
      </x:c>
      <x:c r="I8" t="n">
        <x:v>68</x:v>
      </x:c>
      <x:c r="J8" t="n">
        <x:v>6</x:v>
      </x:c>
      <x:c r="K8" t="n">
        <x:v>411</x:v>
      </x:c>
      <x:c r="L8" t="n">
        <x:v>2164</x:v>
      </x:c>
      <x:c r="M8" s="22" t="n">
        <x:f>IF(F8=0,"",G8/F8)</x:f>
        <x:v>2.5085714285714285</x:v>
      </x:c>
      <x:c r="N8" s="20" t="n">
        <x:f>IF(D8=0,"",E8/D8)</x:f>
        <x:v>0.07789232531500573</x:v>
      </x:c>
      <x:c r="O8" s="20" t="n">
        <x:f>IF(I8=0,"",J8/I8)</x:f>
        <x:v>0.08823529411764706</x:v>
      </x:c>
      <x:c r="P8" s="23" t="n">
        <x:f>IF(F8=0,"",K8/F8)</x:f>
        <x:v>4.892857142857143</x:v>
      </x:c>
      <x:c r="Q8" s="23" t="n">
        <x:f>IF(F8=0,"",L8/F8)</x:f>
        <x:v>25.761904761904763</x:v>
      </x:c>
      <x:c r="R8" s="20" t="n">
        <x:f>IF(G8=0,"",H8/G8)</x:f>
        <x:v>0.424537775246773</x:v>
      </x:c>
    </x:row>
    <x:row r="9">
      <x:c r="A9" t="str">
        <x:v>Reward Story H</x:v>
      </x:c>
      <x:c r="B9" t="str">
        <x:v>Store Intent</x:v>
      </x:c>
      <x:c r="C9" t="str">
        <x:v>Store Search</x:v>
      </x:c>
      <x:c r="D9" t="n">
        <x:v>5817</x:v>
      </x:c>
      <x:c r="E9" t="n">
        <x:v>419</x:v>
      </x:c>
      <x:c r="F9" t="n">
        <x:v>82</x:v>
      </x:c>
      <x:c r="G9" s="21" t="n">
        <x:v>206.8</x:v>
      </x:c>
      <x:c r="H9" s="21" t="n">
        <x:v>64.6422</x:v>
      </x:c>
      <x:c r="I9" t="n">
        <x:v>65</x:v>
      </x:c>
      <x:c r="J9" t="n">
        <x:v>7</x:v>
      </x:c>
      <x:c r="K9" t="n">
        <x:v>438</x:v>
      </x:c>
      <x:c r="L9" t="n">
        <x:v>2384</x:v>
      </x:c>
      <x:c r="M9" s="22" t="n">
        <x:f>IF(F9=0,"",G9/F9)</x:f>
        <x:v>2.521951219512195</x:v>
      </x:c>
      <x:c r="N9" s="20" t="n">
        <x:f>IF(D9=0,"",E9/D9)</x:f>
        <x:v>0.07203025614577961</x:v>
      </x:c>
      <x:c r="O9" s="20" t="n">
        <x:f>IF(I9=0,"",J9/I9)</x:f>
        <x:v>0.1076923076923077</x:v>
      </x:c>
      <x:c r="P9" s="23" t="n">
        <x:f>IF(F9=0,"",K9/F9)</x:f>
        <x:v>5.341463414634147</x:v>
      </x:c>
      <x:c r="Q9" s="23" t="n">
        <x:f>IF(F9=0,"",L9/F9)</x:f>
        <x:v>29.073170731707318</x:v>
      </x:c>
      <x:c r="R9" s="20" t="n">
        <x:f>IF(G9=0,"",H9/G9)</x:f>
        <x:v>0.31258317214700193</x:v>
      </x:c>
    </x:row>
    <x:row r="10">
      <x:c r="A10" t="str">
        <x:v>Playable Puzzle C</x:v>
      </x:c>
      <x:c r="B10" t="str">
        <x:v>Playable Broad</x:v>
      </x:c>
      <x:c r="C10" t="str">
        <x:v>Game Network</x:v>
      </x:c>
      <x:c r="D10" t="n">
        <x:v>10517</x:v>
      </x:c>
      <x:c r="E10" t="n">
        <x:v>754</x:v>
      </x:c>
      <x:c r="F10" t="n">
        <x:v>139</x:v>
      </x:c>
      <x:c r="G10" s="21" t="n">
        <x:v>196</x:v>
      </x:c>
      <x:c r="H10" s="21" t="n">
        <x:v>115.64340000000001</x:v>
      </x:c>
      <x:c r="I10" t="n">
        <x:v>104</x:v>
      </x:c>
      <x:c r="J10" t="n">
        <x:v>10</x:v>
      </x:c>
      <x:c r="K10" t="n">
        <x:v>636</x:v>
      </x:c>
      <x:c r="L10" t="n">
        <x:v>2952</x:v>
      </x:c>
      <x:c r="M10" s="22" t="n">
        <x:f>IF(F10=0,"",G10/F10)</x:f>
        <x:v>1.410071942446043</x:v>
      </x:c>
      <x:c r="N10" s="20" t="n">
        <x:f>IF(D10=0,"",E10/D10)</x:f>
        <x:v>0.07169344870210136</x:v>
      </x:c>
      <x:c r="O10" s="20" t="n">
        <x:f>IF(I10=0,"",J10/I10)</x:f>
        <x:v>0.09615384615384616</x:v>
      </x:c>
      <x:c r="P10" s="23" t="n">
        <x:f>IF(F10=0,"",K10/F10)</x:f>
        <x:v>4.575539568345324</x:v>
      </x:c>
      <x:c r="Q10" s="23" t="n">
        <x:f>IF(F10=0,"",L10/F10)</x:f>
        <x:v>21.237410071942445</x:v>
      </x:c>
      <x:c r="R10" s="20" t="n">
        <x:f>IF(G10=0,"",H10/G10)</x:f>
        <x:v>0.5900173469387756</x:v>
      </x:c>
    </x:row>
    <x:row r="11">
      <x:c r="A11" t="str">
        <x:v>Progress Video C</x:v>
      </x:c>
      <x:c r="B11" t="str">
        <x:v>Playable Broad</x:v>
      </x:c>
      <x:c r="C11" t="str">
        <x:v>Game Network</x:v>
      </x:c>
      <x:c r="D11" t="n">
        <x:v>10273</x:v>
      </x:c>
      <x:c r="E11" t="n">
        <x:v>777</x:v>
      </x:c>
      <x:c r="F11" t="n">
        <x:v>133</x:v>
      </x:c>
      <x:c r="G11" s="21" t="n">
        <x:v>195.17000000000002</x:v>
      </x:c>
      <x:c r="H11" s="21" t="n">
        <x:v>98.5235</x:v>
      </x:c>
      <x:c r="I11" t="n">
        <x:v>104</x:v>
      </x:c>
      <x:c r="J11" t="n">
        <x:v>12</x:v>
      </x:c>
      <x:c r="K11" t="n">
        <x:v>622</x:v>
      </x:c>
      <x:c r="L11" t="n">
        <x:v>2940</x:v>
      </x:c>
      <x:c r="M11" s="22" t="n">
        <x:f>IF(F11=0,"",G11/F11)</x:f>
        <x:v>1.4674436090225564</x:v>
      </x:c>
      <x:c r="N11" s="20" t="n">
        <x:f>IF(D11=0,"",E11/D11)</x:f>
        <x:v>0.07563516012849217</x:v>
      </x:c>
      <x:c r="O11" s="20" t="n">
        <x:f>IF(I11=0,"",J11/I11)</x:f>
        <x:v>0.11538461538461539</x:v>
      </x:c>
      <x:c r="P11" s="23" t="n">
        <x:f>IF(F11=0,"",K11/F11)</x:f>
        <x:v>4.676691729323308</x:v>
      </x:c>
      <x:c r="Q11" s="23" t="n">
        <x:f>IF(F11=0,"",L11/F11)</x:f>
        <x:v>22.105263157894736</x:v>
      </x:c>
      <x:c r="R11" s="20" t="n">
        <x:f>IF(G11=0,"",H11/G11)</x:f>
        <x:v>0.5048086283752625</x:v>
      </x:c>
    </x:row>
    <x:row r="12">
      <x:c r="A12" t="str">
        <x:v>Reward Story D</x:v>
      </x:c>
      <x:c r="B12" t="str">
        <x:v>Playable Premium</x:v>
      </x:c>
      <x:c r="C12" t="str">
        <x:v>Game Network</x:v>
      </x:c>
      <x:c r="D12" t="n">
        <x:v>6171</x:v>
      </x:c>
      <x:c r="E12" t="n">
        <x:v>515</x:v>
      </x:c>
      <x:c r="F12" t="n">
        <x:v>84</x:v>
      </x:c>
      <x:c r="G12" s="21" t="n">
        <x:v>188.62</x:v>
      </x:c>
      <x:c r="H12" s="21" t="n">
        <x:v>39.912099999999995</x:v>
      </x:c>
      <x:c r="I12" t="n">
        <x:v>67</x:v>
      </x:c>
      <x:c r="J12" t="n">
        <x:v>10</x:v>
      </x:c>
      <x:c r="K12" t="n">
        <x:v>426</x:v>
      </x:c>
      <x:c r="L12" t="n">
        <x:v>2152</x:v>
      </x:c>
      <x:c r="M12" s="22" t="n">
        <x:f>IF(F12=0,"",G12/F12)</x:f>
        <x:v>2.2454761904761904</x:v>
      </x:c>
      <x:c r="N12" s="20" t="n">
        <x:f>IF(D12=0,"",E12/D12)</x:f>
        <x:v>0.08345486955112623</x:v>
      </x:c>
      <x:c r="O12" s="20" t="n">
        <x:f>IF(I12=0,"",J12/I12)</x:f>
        <x:v>0.14925373134328357</x:v>
      </x:c>
      <x:c r="P12" s="23" t="n">
        <x:f>IF(F12=0,"",K12/F12)</x:f>
        <x:v>5.071428571428571</x:v>
      </x:c>
      <x:c r="Q12" s="23" t="n">
        <x:f>IF(F12=0,"",L12/F12)</x:f>
        <x:v>25.61904761904762</x:v>
      </x:c>
      <x:c r="R12" s="20" t="n">
        <x:f>IF(G12=0,"",H12/G12)</x:f>
        <x:v>0.21160057257979004</x:v>
      </x:c>
    </x:row>
    <x:row r="13">
      <x:c r="A13" t="str">
        <x:v>Playable Puzzle E</x:v>
      </x:c>
      <x:c r="B13" t="str">
        <x:v>Social Gameplay</x:v>
      </x:c>
      <x:c r="C13" t="str">
        <x:v>Social Network</x:v>
      </x:c>
      <x:c r="D13" t="n">
        <x:v>7945</x:v>
      </x:c>
      <x:c r="E13" t="n">
        <x:v>627</x:v>
      </x:c>
      <x:c r="F13" t="n">
        <x:v>102</x:v>
      </x:c>
      <x:c r="G13" s="21" t="n">
        <x:v>183.51</x:v>
      </x:c>
      <x:c r="H13" s="21" t="n">
        <x:v>93.83109999999999</x:v>
      </x:c>
      <x:c r="I13" t="n">
        <x:v>76</x:v>
      </x:c>
      <x:c r="J13" t="n">
        <x:v>8</x:v>
      </x:c>
      <x:c r="K13" t="n">
        <x:v>374</x:v>
      </x:c>
      <x:c r="L13" t="n">
        <x:v>1659</x:v>
      </x:c>
      <x:c r="M13" s="22" t="n">
        <x:f>IF(F13=0,"",G13/F13)</x:f>
        <x:v>1.7991176470588235</x:v>
      </x:c>
      <x:c r="N13" s="20" t="n">
        <x:f>IF(D13=0,"",E13/D13)</x:f>
        <x:v>0.0789175582127124</x:v>
      </x:c>
      <x:c r="O13" s="20" t="n">
        <x:f>IF(I13=0,"",J13/I13)</x:f>
        <x:v>0.10526315789473684</x:v>
      </x:c>
      <x:c r="P13" s="23" t="n">
        <x:f>IF(F13=0,"",K13/F13)</x:f>
        <x:v>3.6666666666666665</x:v>
      </x:c>
      <x:c r="Q13" s="23" t="n">
        <x:f>IF(F13=0,"",L13/F13)</x:f>
        <x:v>16.264705882352942</x:v>
      </x:c>
      <x:c r="R13" s="20" t="n">
        <x:f>IF(G13=0,"",H13/G13)</x:f>
        <x:v>0.511313279930249</x:v>
      </x:c>
    </x:row>
    <x:row r="14">
      <x:c r="A14" t="str">
        <x:v>Progress Video E</x:v>
      </x:c>
      <x:c r="B14" t="str">
        <x:v>Social Gameplay</x:v>
      </x:c>
      <x:c r="C14" t="str">
        <x:v>Social Network</x:v>
      </x:c>
      <x:c r="D14" t="n">
        <x:v>6929</x:v>
      </x:c>
      <x:c r="E14" t="n">
        <x:v>590</x:v>
      </x:c>
      <x:c r="F14" t="n">
        <x:v>97</x:v>
      </x:c>
      <x:c r="G14" s="21" t="n">
        <x:v>173.12</x:v>
      </x:c>
      <x:c r="H14" s="21" t="n">
        <x:v>63.2265</x:v>
      </x:c>
      <x:c r="I14" t="n">
        <x:v>70</x:v>
      </x:c>
      <x:c r="J14" t="n">
        <x:v>9</x:v>
      </x:c>
      <x:c r="K14" t="n">
        <x:v>380</x:v>
      </x:c>
      <x:c r="L14" t="n">
        <x:v>1649</x:v>
      </x:c>
      <x:c r="M14" s="22" t="n">
        <x:f>IF(F14=0,"",G14/F14)</x:f>
        <x:v>1.7847422680412373</x:v>
      </x:c>
      <x:c r="N14" s="20" t="n">
        <x:f>IF(D14=0,"",E14/D14)</x:f>
        <x:v>0.08514937220378122</x:v>
      </x:c>
      <x:c r="O14" s="20" t="n">
        <x:f>IF(I14=0,"",J14/I14)</x:f>
        <x:v>0.12857142857142856</x:v>
      </x:c>
      <x:c r="P14" s="23" t="n">
        <x:f>IF(F14=0,"",K14/F14)</x:f>
        <x:v>3.917525773195876</x:v>
      </x:c>
      <x:c r="Q14" s="23" t="n">
        <x:f>IF(F14=0,"",L14/F14)</x:f>
        <x:v>17</x:v>
      </x:c>
      <x:c r="R14" s="20" t="n">
        <x:f>IF(G14=0,"",H14/G14)</x:f>
        <x:v>0.36521776802218114</x:v>
      </x:c>
    </x:row>
    <x:row r="15">
      <x:c r="A15" t="str">
        <x:v>Reward Story C</x:v>
      </x:c>
      <x:c r="B15" t="str">
        <x:v>Playable Broad</x:v>
      </x:c>
      <x:c r="C15" t="str">
        <x:v>Game Network</x:v>
      </x:c>
      <x:c r="D15" t="n">
        <x:v>8662</x:v>
      </x:c>
      <x:c r="E15" t="n">
        <x:v>640</x:v>
      </x:c>
      <x:c r="F15" t="n">
        <x:v>116</x:v>
      </x:c>
      <x:c r="G15" s="21" t="n">
        <x:v>166.97</x:v>
      </x:c>
      <x:c r="H15" s="21" t="n">
        <x:v>88.9718</x:v>
      </x:c>
      <x:c r="I15" t="n">
        <x:v>88</x:v>
      </x:c>
      <x:c r="J15" t="n">
        <x:v>7</x:v>
      </x:c>
      <x:c r="K15" t="n">
        <x:v>571</x:v>
      </x:c>
      <x:c r="L15" t="n">
        <x:v>2785</x:v>
      </x:c>
      <x:c r="M15" s="22" t="n">
        <x:f>IF(F15=0,"",G15/F15)</x:f>
        <x:v>1.4393965517241378</x:v>
      </x:c>
      <x:c r="N15" s="20" t="n">
        <x:f>IF(D15=0,"",E15/D15)</x:f>
        <x:v>0.07388593858231356</x:v>
      </x:c>
      <x:c r="O15" s="20" t="n">
        <x:f>IF(I15=0,"",J15/I15)</x:f>
        <x:v>0.07954545454545454</x:v>
      </x:c>
      <x:c r="P15" s="23" t="n">
        <x:f>IF(F15=0,"",K15/F15)</x:f>
        <x:v>4.922413793103448</x:v>
      </x:c>
      <x:c r="Q15" s="23" t="n">
        <x:f>IF(F15=0,"",L15/F15)</x:f>
        <x:v>24.00862068965517</x:v>
      </x:c>
      <x:c r="R15" s="20" t="n">
        <x:f>IF(G15=0,"",H15/G15)</x:f>
        <x:v>0.5328609929927532</x:v>
      </x:c>
    </x:row>
    <x:row r="16">
      <x:c r="A16" t="str">
        <x:v>Reward Story E</x:v>
      </x:c>
      <x:c r="B16" t="str">
        <x:v>Social Gameplay</x:v>
      </x:c>
      <x:c r="C16" t="str">
        <x:v>Social Network</x:v>
      </x:c>
      <x:c r="D16" t="n">
        <x:v>6390</x:v>
      </x:c>
      <x:c r="E16" t="n">
        <x:v>490</x:v>
      </x:c>
      <x:c r="F16" t="n">
        <x:v>87</x:v>
      </x:c>
      <x:c r="G16" s="21" t="n">
        <x:v>149.01999999999998</x:v>
      </x:c>
      <x:c r="H16" s="21" t="n">
        <x:v>21.477899999999998</x:v>
      </x:c>
      <x:c r="I16" t="n">
        <x:v>69</x:v>
      </x:c>
      <x:c r="J16" t="n">
        <x:v>6</x:v>
      </x:c>
      <x:c r="K16" t="n">
        <x:v>313</x:v>
      </x:c>
      <x:c r="L16" t="n">
        <x:v>1371</x:v>
      </x:c>
      <x:c r="M16" s="22" t="n">
        <x:f>IF(F16=0,"",G16/F16)</x:f>
        <x:v>1.7128735632183907</x:v>
      </x:c>
      <x:c r="N16" s="20" t="n">
        <x:f>IF(D16=0,"",E16/D16)</x:f>
        <x:v>0.07668231611893583</x:v>
      </x:c>
      <x:c r="O16" s="20" t="n">
        <x:f>IF(I16=0,"",J16/I16)</x:f>
        <x:v>0.08695652173913043</x:v>
      </x:c>
      <x:c r="P16" s="23" t="n">
        <x:f>IF(F16=0,"",K16/F16)</x:f>
        <x:v>3.5977011494252875</x:v>
      </x:c>
      <x:c r="Q16" s="23" t="n">
        <x:f>IF(F16=0,"",L16/F16)</x:f>
        <x:v>15.758620689655173</x:v>
      </x:c>
      <x:c r="R16" s="20" t="n">
        <x:f>IF(G16=0,"",H16/G16)</x:f>
        <x:v>0.1441276338746477</x:v>
      </x:c>
    </x:row>
    <x:row r="17">
      <x:c r="A17" t="str">
        <x:v>Reward Story B</x:v>
      </x:c>
      <x:c r="B17" t="str">
        <x:v>Search Value North</x:v>
      </x:c>
      <x:c r="C17" t="str">
        <x:v>Search Network</x:v>
      </x:c>
      <x:c r="D17" t="n">
        <x:v>5815</x:v>
      </x:c>
      <x:c r="E17" t="n">
        <x:v>466</x:v>
      </x:c>
      <x:c r="F17" t="n">
        <x:v>74</x:v>
      </x:c>
      <x:c r="G17" s="21" t="n">
        <x:v>125.31</x:v>
      </x:c>
      <x:c r="H17" s="21" t="n">
        <x:v>34.9767</x:v>
      </x:c>
      <x:c r="I17" t="n">
        <x:v>55</x:v>
      </x:c>
      <x:c r="J17" t="n">
        <x:v>6</x:v>
      </x:c>
      <x:c r="K17" t="n">
        <x:v>299</x:v>
      </x:c>
      <x:c r="L17" t="n">
        <x:v>1398</x:v>
      </x:c>
      <x:c r="M17" s="22" t="n">
        <x:f>IF(F17=0,"",G17/F17)</x:f>
        <x:v>1.6933783783783785</x:v>
      </x:c>
      <x:c r="N17" s="20" t="n">
        <x:f>IF(D17=0,"",E17/D17)</x:f>
        <x:v>0.08013757523645744</x:v>
      </x:c>
      <x:c r="O17" s="20" t="n">
        <x:f>IF(I17=0,"",J17/I17)</x:f>
        <x:v>0.10909090909090909</x:v>
      </x:c>
      <x:c r="P17" s="23" t="n">
        <x:f>IF(F17=0,"",K17/F17)</x:f>
        <x:v>4.04054054054054</x:v>
      </x:c>
      <x:c r="Q17" s="23" t="n">
        <x:f>IF(F17=0,"",L17/F17)</x:f>
        <x:v>18.89189189189189</x:v>
      </x:c>
      <x:c r="R17" s="20" t="n">
        <x:f>IF(G17=0,"",H17/G17)</x:f>
        <x:v>0.2791213789801293</x:v>
      </x:c>
    </x:row>
    <x:row r="18">
      <x:c r="A18" t="str">
        <x:v>Playable Puzzle B</x:v>
      </x:c>
      <x:c r="B18" t="str">
        <x:v>Search Value North</x:v>
      </x:c>
      <x:c r="C18" t="str">
        <x:v>Search Network</x:v>
      </x:c>
      <x:c r="D18" t="n">
        <x:v>5250</x:v>
      </x:c>
      <x:c r="E18" t="n">
        <x:v>381</x:v>
      </x:c>
      <x:c r="F18" t="n">
        <x:v>71</x:v>
      </x:c>
      <x:c r="G18" s="21" t="n">
        <x:v>113.68</x:v>
      </x:c>
      <x:c r="H18" s="21" t="n">
        <x:v>27.24</x:v>
      </x:c>
      <x:c r="I18" t="n">
        <x:v>59</x:v>
      </x:c>
      <x:c r="J18" t="n">
        <x:v>8</x:v>
      </x:c>
      <x:c r="K18" t="n">
        <x:v>280</x:v>
      </x:c>
      <x:c r="L18" t="n">
        <x:v>1294</x:v>
      </x:c>
      <x:c r="M18" s="22" t="n">
        <x:f>IF(F18=0,"",G18/F18)</x:f>
        <x:v>1.6011267605633803</x:v>
      </x:c>
      <x:c r="N18" s="20" t="n">
        <x:f>IF(D18=0,"",E18/D18)</x:f>
        <x:v>0.07257142857142856</x:v>
      </x:c>
      <x:c r="O18" s="20" t="n">
        <x:f>IF(I18=0,"",J18/I18)</x:f>
        <x:v>0.13559322033898305</x:v>
      </x:c>
      <x:c r="P18" s="23" t="n">
        <x:f>IF(F18=0,"",K18/F18)</x:f>
        <x:v>3.943661971830986</x:v>
      </x:c>
      <x:c r="Q18" s="23" t="n">
        <x:f>IF(F18=0,"",L18/F18)</x:f>
        <x:v>18.225352112676056</x:v>
      </x:c>
      <x:c r="R18" s="20" t="n">
        <x:f>IF(G18=0,"",H18/G18)</x:f>
        <x:v>0.23961998592540462</x:v>
      </x:c>
    </x:row>
    <x:row r="19">
      <x:c r="A19" t="str">
        <x:v>Progress Video B</x:v>
      </x:c>
      <x:c r="B19" t="str">
        <x:v>Search Value North</x:v>
      </x:c>
      <x:c r="C19" t="str">
        <x:v>Search Network</x:v>
      </x:c>
      <x:c r="D19" t="n">
        <x:v>4295</x:v>
      </x:c>
      <x:c r="E19" t="n">
        <x:v>330</x:v>
      </x:c>
      <x:c r="F19" t="n">
        <x:v>61</x:v>
      </x:c>
      <x:c r="G19" s="21" t="n">
        <x:v>96.26</x:v>
      </x:c>
      <x:c r="H19" s="21" t="n">
        <x:v>33.4555</x:v>
      </x:c>
      <x:c r="I19" t="n">
        <x:v>46</x:v>
      </x:c>
      <x:c r="J19" t="n">
        <x:v>6</x:v>
      </x:c>
      <x:c r="K19" t="n">
        <x:v>276</x:v>
      </x:c>
      <x:c r="L19" t="n">
        <x:v>1268</x:v>
      </x:c>
      <x:c r="M19" s="22" t="n">
        <x:f>IF(F19=0,"",G19/F19)</x:f>
        <x:v>1.578032786885246</x:v>
      </x:c>
      <x:c r="N19" s="20" t="n">
        <x:f>IF(D19=0,"",E19/D19)</x:f>
        <x:v>0.07683352735739232</x:v>
      </x:c>
      <x:c r="O19" s="20" t="n">
        <x:f>IF(I19=0,"",J19/I19)</x:f>
        <x:v>0.13043478260869565</x:v>
      </x:c>
      <x:c r="P19" s="23" t="n">
        <x:f>IF(F19=0,"",K19/F19)</x:f>
        <x:v>4.524590163934426</x:v>
      </x:c>
      <x:c r="Q19" s="23" t="n">
        <x:f>IF(F19=0,"",L19/F19)</x:f>
        <x:v>20.78688524590164</x:v>
      </x:c>
      <x:c r="R19" s="20" t="n">
        <x:f>IF(G19=0,"",H19/G19)</x:f>
        <x:v>0.3475535009349678</x:v>
      </x:c>
    </x:row>
    <x:row r="20">
      <x:c r="A20" t="str">
        <x:v>Reward Story A</x:v>
      </x:c>
      <x:c r="B20" t="str">
        <x:v>Search Value Global</x:v>
      </x:c>
      <x:c r="C20" t="str">
        <x:v>Search Network</x:v>
      </x:c>
      <x:c r="D20" t="n">
        <x:v>5643</x:v>
      </x:c>
      <x:c r="E20" t="n">
        <x:v>463</x:v>
      </x:c>
      <x:c r="F20" t="n">
        <x:v>78</x:v>
      </x:c>
      <x:c r="G20" s="21" t="n">
        <x:v>86.56</x:v>
      </x:c>
      <x:c r="H20" s="21" t="n">
        <x:v>57.289100000000005</x:v>
      </x:c>
      <x:c r="I20" t="n">
        <x:v>63</x:v>
      </x:c>
      <x:c r="J20" t="n">
        <x:v>4</x:v>
      </x:c>
      <x:c r="K20" t="n">
        <x:v>257</x:v>
      </x:c>
      <x:c r="L20" t="n">
        <x:v>1068</x:v>
      </x:c>
      <x:c r="M20" s="22" t="n">
        <x:f>IF(F20=0,"",G20/F20)</x:f>
        <x:v>1.1097435897435897</x:v>
      </x:c>
      <x:c r="N20" s="20" t="n">
        <x:f>IF(D20=0,"",E20/D20)</x:f>
        <x:v>0.08204855573276626</x:v>
      </x:c>
      <x:c r="O20" s="20" t="n">
        <x:f>IF(I20=0,"",J20/I20)</x:f>
        <x:v>0.06349206349206349</x:v>
      </x:c>
      <x:c r="P20" s="23" t="n">
        <x:f>IF(F20=0,"",K20/F20)</x:f>
        <x:v>3.2948717948717947</x:v>
      </x:c>
      <x:c r="Q20" s="23" t="n">
        <x:f>IF(F20=0,"",L20/F20)</x:f>
        <x:v>13.692307692307692</x:v>
      </x:c>
      <x:c r="R20" s="20" t="n">
        <x:f>IF(G20=0,"",H20/G20)</x:f>
        <x:v>0.661842652495379</x:v>
      </x:c>
    </x:row>
    <x:row r="21">
      <x:c r="A21" t="str">
        <x:v>Progress Video A</x:v>
      </x:c>
      <x:c r="B21" t="str">
        <x:v>Search Value Global</x:v>
      </x:c>
      <x:c r="C21" t="str">
        <x:v>Search Network</x:v>
      </x:c>
      <x:c r="D21" t="n">
        <x:v>4998</x:v>
      </x:c>
      <x:c r="E21" t="n">
        <x:v>413</x:v>
      </x:c>
      <x:c r="F21" t="n">
        <x:v>69</x:v>
      </x:c>
      <x:c r="G21" s="21" t="n">
        <x:v>76.74</x:v>
      </x:c>
      <x:c r="H21" s="21" t="n">
        <x:v>16.9913</x:v>
      </x:c>
      <x:c r="I21" t="n">
        <x:v>56</x:v>
      </x:c>
      <x:c r="J21" t="n">
        <x:v>3</x:v>
      </x:c>
      <x:c r="K21" t="n">
        <x:v>211</x:v>
      </x:c>
      <x:c r="L21" t="n">
        <x:v>870</x:v>
      </x:c>
      <x:c r="M21" s="22" t="n">
        <x:f>IF(F21=0,"",G21/F21)</x:f>
        <x:v>1.1121739130434782</x:v>
      </x:c>
      <x:c r="N21" s="20" t="n">
        <x:f>IF(D21=0,"",E21/D21)</x:f>
        <x:v>0.08263305322128851</x:v>
      </x:c>
      <x:c r="O21" s="20" t="n">
        <x:f>IF(I21=0,"",J21/I21)</x:f>
        <x:v>0.05357142857142857</x:v>
      </x:c>
      <x:c r="P21" s="23" t="n">
        <x:f>IF(F21=0,"",K21/F21)</x:f>
        <x:v>3.0579710144927534</x:v>
      </x:c>
      <x:c r="Q21" s="23" t="n">
        <x:f>IF(F21=0,"",L21/F21)</x:f>
        <x:v>12.608695652173912</x:v>
      </x:c>
      <x:c r="R21" s="20" t="n">
        <x:f>IF(G21=0,"",H21/G21)</x:f>
        <x:v>0.2214138649986969</x:v>
      </x:c>
    </x:row>
    <x:row r="22">
      <x:c r="A22" t="str">
        <x:v>Playable Puzzle A</x:v>
      </x:c>
      <x:c r="B22" t="str">
        <x:v>Search Value Global</x:v>
      </x:c>
      <x:c r="C22" t="str">
        <x:v>Search Network</x:v>
      </x:c>
      <x:c r="D22" t="n">
        <x:v>4854</x:v>
      </x:c>
      <x:c r="E22" t="n">
        <x:v>366</x:v>
      </x:c>
      <x:c r="F22" t="n">
        <x:v>67</x:v>
      </x:c>
      <x:c r="G22" s="21" t="n">
        <x:v>71.69</x:v>
      </x:c>
      <x:c r="H22" s="21" t="n">
        <x:v>36.4558</x:v>
      </x:c>
      <x:c r="I22" t="n">
        <x:v>53</x:v>
      </x:c>
      <x:c r="J22" t="n">
        <x:v>3</x:v>
      </x:c>
      <x:c r="K22" t="n">
        <x:v>226</x:v>
      </x:c>
      <x:c r="L22" t="n">
        <x:v>988</x:v>
      </x:c>
      <x:c r="M22" s="22" t="n">
        <x:f>IF(F22=0,"",G22/F22)</x:f>
        <x:v>1.07</x:v>
      </x:c>
      <x:c r="N22" s="20" t="n">
        <x:f>IF(D22=0,"",E22/D22)</x:f>
        <x:v>0.0754017305315204</x:v>
      </x:c>
      <x:c r="O22" s="20" t="n">
        <x:f>IF(I22=0,"",J22/I22)</x:f>
        <x:v>0.05660377358490566</x:v>
      </x:c>
      <x:c r="P22" s="23" t="n">
        <x:f>IF(F22=0,"",K22/F22)</x:f>
        <x:v>3.373134328358209</x:v>
      </x:c>
      <x:c r="Q22" s="23" t="n">
        <x:f>IF(F22=0,"",L22/F22)</x:f>
        <x:v>14.746268656716419</x:v>
      </x:c>
      <x:c r="R22" s="20" t="n">
        <x:f>IF(G22=0,"",H22/G22)</x:f>
        <x:v>0.5085200167387363</x:v>
      </x:c>
    </x:row>
    <x:row r="23">
      <x:c r="A23" t="str">
        <x:v>Reward Story F</x:v>
      </x:c>
      <x:c r="B23" t="str">
        <x:v>Social Lifestyle</x:v>
      </x:c>
      <x:c r="C23" t="str">
        <x:v>Social Network</x:v>
      </x:c>
      <x:c r="D23" t="n">
        <x:v>2139</x:v>
      </x:c>
      <x:c r="E23" t="n">
        <x:v>161</x:v>
      </x:c>
      <x:c r="F23" t="n">
        <x:v>27</x:v>
      </x:c>
      <x:c r="G23" s="21" t="n">
        <x:v>63.61</x:v>
      </x:c>
      <x:c r="H23" s="21" t="n">
        <x:v>7.4148</x:v>
      </x:c>
      <x:c r="I23" t="n">
        <x:v>27</x:v>
      </x:c>
      <x:c r="J23" t="n">
        <x:v>0</x:v>
      </x:c>
      <x:c r="K23" t="n">
        <x:v>95</x:v>
      </x:c>
      <x:c r="L23" t="n">
        <x:v>344</x:v>
      </x:c>
      <x:c r="M23" s="22" t="n">
        <x:f>IF(F23=0,"",G23/F23)</x:f>
        <x:v>2.3559259259259258</x:v>
      </x:c>
      <x:c r="N23" s="20" t="n">
        <x:f>IF(D23=0,"",E23/D23)</x:f>
        <x:v>0.07526881720430108</x:v>
      </x:c>
      <x:c r="O23" s="20" t="n">
        <x:f>IF(I23=0,"",J23/I23)</x:f>
        <x:v>0</x:v>
      </x:c>
      <x:c r="P23" s="23" t="n">
        <x:f>IF(F23=0,"",K23/F23)</x:f>
        <x:v>3.5185185185185186</x:v>
      </x:c>
      <x:c r="Q23" s="23" t="n">
        <x:f>IF(F23=0,"",L23/F23)</x:f>
        <x:v>12.74074074074074</x:v>
      </x:c>
      <x:c r="R23" s="20" t="n">
        <x:f>IF(G23=0,"",H23/G23)</x:f>
        <x:v>0.11656657758214117</x:v>
      </x:c>
    </x:row>
    <x:row r="24">
      <x:c r="A24" t="str">
        <x:v>Progress Video F</x:v>
      </x:c>
      <x:c r="B24" t="str">
        <x:v>Social Lifestyle</x:v>
      </x:c>
      <x:c r="C24" t="str">
        <x:v>Social Network</x:v>
      </x:c>
      <x:c r="D24" t="n">
        <x:v>1500</x:v>
      </x:c>
      <x:c r="E24" t="n">
        <x:v>119</x:v>
      </x:c>
      <x:c r="F24" t="n">
        <x:v>22</x:v>
      </x:c>
      <x:c r="G24" s="21" t="n">
        <x:v>50.92</x:v>
      </x:c>
      <x:c r="H24" s="21" t="n">
        <x:v>1.7809</x:v>
      </x:c>
      <x:c r="I24" t="n">
        <x:v>22</x:v>
      </x:c>
      <x:c r="J24" t="n">
        <x:v>1</x:v>
      </x:c>
      <x:c r="K24" t="n">
        <x:v>58</x:v>
      </x:c>
      <x:c r="L24" t="n">
        <x:v>229</x:v>
      </x:c>
      <x:c r="M24" s="22" t="n">
        <x:f>IF(F24=0,"",G24/F24)</x:f>
        <x:v>2.3145454545454545</x:v>
      </x:c>
      <x:c r="N24" s="20" t="n">
        <x:f>IF(D24=0,"",E24/D24)</x:f>
        <x:v>0.07933333333333334</x:v>
      </x:c>
      <x:c r="O24" s="20" t="n">
        <x:f>IF(I24=0,"",J24/I24)</x:f>
        <x:v>0.045454545454545456</x:v>
      </x:c>
      <x:c r="P24" s="23" t="n">
        <x:f>IF(F24=0,"",K24/F24)</x:f>
        <x:v>2.6363636363636362</x:v>
      </x:c>
      <x:c r="Q24" s="23" t="n">
        <x:f>IF(F24=0,"",L24/F24)</x:f>
        <x:v>10.409090909090908</x:v>
      </x:c>
      <x:c r="R24" s="20" t="n">
        <x:f>IF(G24=0,"",H24/G24)</x:f>
        <x:v>0.034974469756480754</x:v>
      </x:c>
    </x:row>
    <x:row r="25">
      <x:c r="A25" t="str">
        <x:v>Playable Puzzle F</x:v>
      </x:c>
      <x:c r="B25" t="str">
        <x:v>Social Lifestyle</x:v>
      </x:c>
      <x:c r="C25" t="str">
        <x:v>Social Network</x:v>
      </x:c>
      <x:c r="D25" t="n">
        <x:v>1546</x:v>
      </x:c>
      <x:c r="E25" t="n">
        <x:v>115</x:v>
      </x:c>
      <x:c r="F25" t="n">
        <x:v>20</x:v>
      </x:c>
      <x:c r="G25" s="21" t="n">
        <x:v>47.66</x:v>
      </x:c>
      <x:c r="H25" s="21" t="n">
        <x:v>2.3035</x:v>
      </x:c>
      <x:c r="I25" t="n">
        <x:v>20</x:v>
      </x:c>
      <x:c r="J25" t="n">
        <x:v>2</x:v>
      </x:c>
      <x:c r="K25" t="n">
        <x:v>85</x:v>
      </x:c>
      <x:c r="L25" t="n">
        <x:v>328</x:v>
      </x:c>
      <x:c r="M25" s="22" t="n">
        <x:f>IF(F25=0,"",G25/F25)</x:f>
        <x:v>2.383</x:v>
      </x:c>
      <x:c r="N25" s="20" t="n">
        <x:f>IF(D25=0,"",E25/D25)</x:f>
        <x:v>0.07438551099611902</x:v>
      </x:c>
      <x:c r="O25" s="20" t="n">
        <x:f>IF(I25=0,"",J25/I25)</x:f>
        <x:v>0.1</x:v>
      </x:c>
      <x:c r="P25" s="23" t="n">
        <x:f>IF(F25=0,"",K25/F25)</x:f>
        <x:v>4.25</x:v>
      </x:c>
      <x:c r="Q25" s="23" t="n">
        <x:f>IF(F25=0,"",L25/F25)</x:f>
        <x:v>16.4</x:v>
      </x:c>
      <x:c r="R25" s="20" t="n">
        <x:f>IF(G25=0,"",H25/G25)</x:f>
        <x:v>0.04833193453629879</x:v>
      </x:c>
    </x:row>
    <x:row r="26">
      <x:c r="A26" t="str">
        <x:v>Progress Video G</x:v>
      </x:c>
      <x:c r="B26" t="str">
        <x:v>Discovery Rewarded</x:v>
      </x:c>
      <x:c r="C26" t="str">
        <x:v>Discovery Network</x:v>
      </x:c>
      <x:c r="D26" t="n">
        <x:v>2159</x:v>
      </x:c>
      <x:c r="E26" t="n">
        <x:v>159</x:v>
      </x:c>
      <x:c r="F26" t="n">
        <x:v>28</x:v>
      </x:c>
      <x:c r="G26" s="21" t="n">
        <x:v>29.27</x:v>
      </x:c>
      <x:c r="H26" s="21" t="n">
        <x:v>2.358</x:v>
      </x:c>
      <x:c r="I26" t="n">
        <x:v>28</x:v>
      </x:c>
      <x:c r="J26" t="n">
        <x:v>2</x:v>
      </x:c>
      <x:c r="K26" t="n">
        <x:v>84</x:v>
      </x:c>
      <x:c r="L26" t="n">
        <x:v>326</x:v>
      </x:c>
      <x:c r="M26" s="22" t="n">
        <x:f>IF(F26=0,"",G26/F26)</x:f>
        <x:v>1.0453571428571429</x:v>
      </x:c>
      <x:c r="N26" s="20" t="n">
        <x:f>IF(D26=0,"",E26/D26)</x:f>
        <x:v>0.07364520611394164</x:v>
      </x:c>
      <x:c r="O26" s="20" t="n">
        <x:f>IF(I26=0,"",J26/I26)</x:f>
        <x:v>0.07142857142857142</x:v>
      </x:c>
      <x:c r="P26" s="23" t="n">
        <x:f>IF(F26=0,"",K26/F26)</x:f>
        <x:v>3</x:v>
      </x:c>
      <x:c r="Q26" s="23" t="n">
        <x:f>IF(F26=0,"",L26/F26)</x:f>
        <x:v>11.642857142857142</x:v>
      </x:c>
      <x:c r="R26" s="20" t="n">
        <x:f>IF(G26=0,"",H26/G26)</x:f>
        <x:v>0.08056030064912881</x:v>
      </x:c>
    </x:row>
    <x:row r="27">
      <x:c r="A27" t="str">
        <x:v>Reward Story G</x:v>
      </x:c>
      <x:c r="B27" t="str">
        <x:v>Discovery Rewarded</x:v>
      </x:c>
      <x:c r="C27" t="str">
        <x:v>Discovery Network</x:v>
      </x:c>
      <x:c r="D27" t="n">
        <x:v>1517</x:v>
      </x:c>
      <x:c r="E27" t="n">
        <x:v>116</x:v>
      </x:c>
      <x:c r="F27" t="n">
        <x:v>19</x:v>
      </x:c>
      <x:c r="G27" s="21" t="n">
        <x:v>19.79</x:v>
      </x:c>
      <x:c r="H27" s="21" t="n">
        <x:v>8.3192</x:v>
      </x:c>
      <x:c r="I27" t="n">
        <x:v>19</x:v>
      </x:c>
      <x:c r="J27" t="n">
        <x:v>1</x:v>
      </x:c>
      <x:c r="K27" t="n">
        <x:v>52</x:v>
      </x:c>
      <x:c r="L27" t="n">
        <x:v>186</x:v>
      </x:c>
      <x:c r="M27" s="22" t="n">
        <x:f>IF(F27=0,"",G27/F27)</x:f>
        <x:v>1.041578947368421</x:v>
      </x:c>
      <x:c r="N27" s="20" t="n">
        <x:f>IF(D27=0,"",E27/D27)</x:f>
        <x:v>0.07646671061305207</x:v>
      </x:c>
      <x:c r="O27" s="20" t="n">
        <x:f>IF(I27=0,"",J27/I27)</x:f>
        <x:v>0.05263157894736842</x:v>
      </x:c>
      <x:c r="P27" s="23" t="n">
        <x:f>IF(F27=0,"",K27/F27)</x:f>
        <x:v>2.736842105263158</x:v>
      </x:c>
      <x:c r="Q27" s="23" t="n">
        <x:f>IF(F27=0,"",L27/F27)</x:f>
        <x:v>9.789473684210526</x:v>
      </x:c>
      <x:c r="R27" s="20" t="n">
        <x:f>IF(G27=0,"",H27/G27)</x:f>
        <x:v>0.4203739262253664</x:v>
      </x:c>
    </x:row>
    <x:row r="28">
      <x:c r="A28" t="str">
        <x:v>Playable Puzzle G</x:v>
      </x:c>
      <x:c r="B28" t="str">
        <x:v>Discovery Rewarded</x:v>
      </x:c>
      <x:c r="C28" t="str">
        <x:v>Discovery Network</x:v>
      </x:c>
      <x:c r="D28" t="n">
        <x:v>1399</x:v>
      </x:c>
      <x:c r="E28" t="n">
        <x:v>101</x:v>
      </x:c>
      <x:c r="F28" t="n">
        <x:v>19</x:v>
      </x:c>
      <x:c r="G28" s="21" t="n">
        <x:v>18.61</x:v>
      </x:c>
      <x:c r="H28" s="21" t="n">
        <x:v>21.533</x:v>
      </x:c>
      <x:c r="I28" t="n">
        <x:v>19</x:v>
      </x:c>
      <x:c r="J28" t="n">
        <x:v>1</x:v>
      </x:c>
      <x:c r="K28" t="n">
        <x:v>54</x:v>
      </x:c>
      <x:c r="L28" t="n">
        <x:v>210</x:v>
      </x:c>
      <x:c r="M28" s="22" t="n">
        <x:f>IF(F28=0,"",G28/F28)</x:f>
        <x:v>0.9794736842105263</x:v>
      </x:c>
      <x:c r="N28" s="20" t="n">
        <x:f>IF(D28=0,"",E28/D28)</x:f>
        <x:v>0.07219442458899214</x:v>
      </x:c>
      <x:c r="O28" s="20" t="n">
        <x:f>IF(I28=0,"",J28/I28)</x:f>
        <x:v>0.05263157894736842</x:v>
      </x:c>
      <x:c r="P28" s="23" t="n">
        <x:f>IF(F28=0,"",K28/F28)</x:f>
        <x:v>2.8421052631578947</x:v>
      </x:c>
      <x:c r="Q28" s="23" t="n">
        <x:f>IF(F28=0,"",L28/F28)</x:f>
        <x:v>11.052631578947368</x:v>
      </x:c>
      <x:c r="R28" s="20" t="n">
        <x:f>IF(G28=0,"",H28/G28)</x:f>
        <x:v>1.1570660934981194</x:v>
      </x:c>
    </x:row>
  </x:sheetData>
  <x:mergeCells>
    <x:mergeCell ref="A1:H1"/>
    <x:mergeCell ref="A2:H2"/>
  </x:mergeCells>
  <x:conditionalFormatting sqref="O5:O2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" t="str">
        <x:v>Mobile Game Marketing Performance</x:v>
      </x:c>
    </x:row>
    <x:row r="2">
      <x:c r="A2" s="2" t="str">
        <x:v>September 2025 | Mature-cohort return rates</x:v>
      </x:c>
    </x:row>
    <x:row r="4">
      <x:c r="A4" s="19" t="str">
        <x:v>Return day</x:v>
      </x:c>
      <x:c r="B4" s="19" t="str">
        <x:v>Eligible players</x:v>
      </x:c>
      <x:c r="C4" s="19" t="str">
        <x:v>Returned players</x:v>
      </x:c>
      <x:c r="D4" s="19" t="str">
        <x:v>Retention</x:v>
      </x:c>
      <x:c r="E4" s="19" t="str">
        <x:v>Churn</x:v>
      </x:c>
    </x:row>
    <x:row r="5">
      <x:c r="A5" t="str">
        <x:v>D1</x:v>
      </x:c>
      <x:c r="B5" t="n">
        <x:v>1734</x:v>
      </x:c>
      <x:c r="C5" t="n">
        <x:v>658</x:v>
      </x:c>
      <x:c r="D5" s="20" t="n">
        <x:v>0.37946943483275664</x:v>
      </x:c>
      <x:c r="E5" s="20" t="n">
        <x:v>0.6205305651672434</x:v>
      </x:c>
    </x:row>
    <x:row r="6">
      <x:c r="A6" t="str">
        <x:v>D3</x:v>
      </x:c>
      <x:c r="B6" t="n">
        <x:v>1629</x:v>
      </x:c>
      <x:c r="C6" t="n">
        <x:v>330</x:v>
      </x:c>
      <x:c r="D6" s="20" t="n">
        <x:v>0.20257826887661143</x:v>
      </x:c>
      <x:c r="E6" s="20" t="n">
        <x:v>0.7974217311233885</x:v>
      </x:c>
    </x:row>
    <x:row r="7">
      <x:c r="A7" t="str">
        <x:v>D7</x:v>
      </x:c>
      <x:c r="B7" t="n">
        <x:v>1431</x:v>
      </x:c>
      <x:c r="C7" t="n">
        <x:v>148</x:v>
      </x:c>
      <x:c r="D7" s="20" t="n">
        <x:v>0.103424178895877</x:v>
      </x:c>
      <x:c r="E7" s="20" t="n">
        <x:v>0.896575821104123</x:v>
      </x:c>
    </x:row>
    <x:row r="8">
      <x:c r="A8" t="str">
        <x:v>D14</x:v>
      </x:c>
      <x:c r="B8" t="n">
        <x:v>1038</x:v>
      </x:c>
      <x:c r="C8" t="n">
        <x:v>56</x:v>
      </x:c>
      <x:c r="D8" s="20" t="n">
        <x:v>0.05394990366088632</x:v>
      </x:c>
      <x:c r="E8" s="20" t="n">
        <x:v>0.9460500963391136</x:v>
      </x:c>
    </x:row>
    <x:row r="11">
      <x:c r="A11" s="19" t="str">
        <x:v>Campaign</x:v>
      </x:c>
      <x:c r="B11" s="19" t="str">
        <x:v>D1</x:v>
      </x:c>
      <x:c r="C11" s="19" t="str">
        <x:v>D3</x:v>
      </x:c>
      <x:c r="D11" s="19" t="str">
        <x:v>D7</x:v>
      </x:c>
      <x:c r="E11" s="19" t="str">
        <x:v>D14</x:v>
      </x:c>
      <x:c r="F11" s="19" t="str">
        <x:v>Life cycle</x:v>
      </x:c>
    </x:row>
    <x:row r="12">
      <x:c r="A12" t="str">
        <x:v>Store Intent</x:v>
      </x:c>
      <x:c r="B12" s="20" t="n">
        <x:v>0.4411764705882353</x:v>
      </x:c>
      <x:c r="C12" s="20" t="n">
        <x:v>0.23622047244094488</x:v>
      </x:c>
      <x:c r="D12" s="20" t="n">
        <x:v>0.11659192825112108</x:v>
      </x:c>
      <x:c r="E12" s="20" t="n">
        <x:v>0.06626506024096386</x:v>
      </x:c>
      <x:c r="F12" t="str">
        <x:v>active</x:v>
      </x:c>
    </x:row>
    <x:row r="13">
      <x:c r="A13" t="str">
        <x:v>Playable Premium</x:v>
      </x:c>
      <x:c r="B13" s="20" t="n">
        <x:v>0.40892193308550184</x:v>
      </x:c>
      <x:c r="C13" s="20" t="n">
        <x:v>0.21825396825396826</x:v>
      </x:c>
      <x:c r="D13" s="20" t="n">
        <x:v>0.14347826086956522</x:v>
      </x:c>
      <x:c r="E13" s="20" t="n">
        <x:v>0.054878048780487805</x:v>
      </x:c>
      <x:c r="F13" t="str">
        <x:v>active</x:v>
      </x:c>
    </x:row>
    <x:row r="14">
      <x:c r="A14" t="str">
        <x:v>Playable Broad</x:v>
      </x:c>
      <x:c r="B14" s="20" t="n">
        <x:v>0.38873994638069703</x:v>
      </x:c>
      <x:c r="C14" s="20" t="n">
        <x:v>0.24929178470254956</x:v>
      </x:c>
      <x:c r="D14" s="20" t="n">
        <x:v>0.09797297297297297</x:v>
      </x:c>
      <x:c r="E14" s="20" t="n">
        <x:v>0.07425742574257425</x:v>
      </x:c>
      <x:c r="F14" t="str">
        <x:v>active</x:v>
      </x:c>
    </x:row>
    <x:row r="15">
      <x:c r="A15" t="str">
        <x:v>Social Gameplay</x:v>
      </x:c>
      <x:c r="B15" s="20" t="n">
        <x:v>0.33941605839416056</x:v>
      </x:c>
      <x:c r="C15" s="20" t="n">
        <x:v>0.16205533596837945</x:v>
      </x:c>
      <x:c r="D15" s="20" t="n">
        <x:v>0.10697674418604651</x:v>
      </x:c>
      <x:c r="E15" s="20" t="n">
        <x:v>0.06578947368421052</x:v>
      </x:c>
      <x:c r="F15" t="str">
        <x:v>active</x:v>
      </x:c>
    </x:row>
    <x:row r="16">
      <x:c r="A16" t="str">
        <x:v>Search Value North</x:v>
      </x:c>
      <x:c r="B16" s="20" t="n">
        <x:v>0.36633663366336633</x:v>
      </x:c>
      <x:c r="C16" s="20" t="n">
        <x:v>0.23118279569892472</x:v>
      </x:c>
      <x:c r="D16" s="20" t="n">
        <x:v>0.125</x:v>
      </x:c>
      <x:c r="E16" s="20" t="n">
        <x:v>0.07142857142857142</x:v>
      </x:c>
      <x:c r="F16" t="str">
        <x:v>active</x:v>
      </x:c>
    </x:row>
    <x:row r="17">
      <x:c r="A17" t="str">
        <x:v>Search Value Global</x:v>
      </x:c>
      <x:c r="B17" s="20" t="n">
        <x:v>0.36363636363636365</x:v>
      </x:c>
      <x:c r="C17" s="20" t="n">
        <x:v>0.1377551020408163</x:v>
      </x:c>
      <x:c r="D17" s="20" t="n">
        <x:v>0.05813953488372093</x:v>
      </x:c>
      <x:c r="E17" s="20" t="n">
        <x:v>0.018691588785046728</x:v>
      </x:c>
      <x:c r="F17" t="str">
        <x:v>active</x:v>
      </x:c>
    </x:row>
    <x:row r="18">
      <x:c r="A18" t="str">
        <x:v>Social Lifestyle</x:v>
      </x:c>
      <x:c r="B18" s="20" t="n">
        <x:v>0.30434782608695654</x:v>
      </x:c>
      <x:c r="C18" s="20" t="n">
        <x:v>0.13043478260869565</x:v>
      </x:c>
      <x:c r="D18" s="20" t="n">
        <x:v>0.043478260869565216</x:v>
      </x:c>
      <x:c r="E18" s="20" t="n">
        <x:v>0.014492753623188406</x:v>
      </x:c>
      <x:c r="F18" t="str">
        <x:v>stopped</x:v>
      </x:c>
    </x:row>
    <x:row r="19">
      <x:c r="A19" t="str">
        <x:v>Discovery Rewarded</x:v>
      </x:c>
      <x:c r="B19" s="20" t="n">
        <x:v>0.2878787878787879</x:v>
      </x:c>
      <x:c r="C19" s="20" t="n">
        <x:v>0.10606060606060606</x:v>
      </x:c>
      <x:c r="D19" s="20" t="n">
        <x:v>0.06060606060606061</x:v>
      </x:c>
      <x:c r="E19" s="20" t="n">
        <x:v>0</x:v>
      </x:c>
      <x:c r="F19" t="str">
        <x:v>stopped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0" hidden="0" customWidth="1"/>
  </x:cols>
  <x:sheetData>
    <x:row r="1">
      <x:c r="A1" s="1" t="str">
        <x:v>Mobile Game Marketing Performance</x:v>
      </x:c>
    </x:row>
    <x:row r="2">
      <x:c r="A2" s="2" t="str">
        <x:v>September 2025 | Cleaning and reconciliation checks</x:v>
      </x:c>
    </x:row>
    <x:row r="4">
      <x:c r="A4" s="19" t="str">
        <x:v>Check</x:v>
      </x:c>
      <x:c r="B4" s="19" t="str">
        <x:v>Result</x:v>
      </x:c>
      <x:c r="C4" s="19" t="str">
        <x:v>Definition</x:v>
      </x:c>
    </x:row>
    <x:row r="5">
      <x:c r="A5" t="str">
        <x:v>Validation status</x:v>
      </x:c>
      <x:c r="B5" s="25" t="str">
        <x:v>PASS</x:v>
      </x:c>
      <x:c r="C5" t="str">
        <x:v>All blocking checks</x:v>
      </x:c>
    </x:row>
    <x:row r="6">
      <x:c r="A6" t="str">
        <x:v>Raw players</x:v>
      </x:c>
      <x:c r="B6" t="n">
        <x:v>1850</x:v>
      </x:c>
      <x:c r="C6" t="str">
        <x:v>Before test-market exclusion</x:v>
      </x:c>
    </x:row>
    <x:row r="7">
      <x:c r="A7" t="str">
        <x:v>Clean players</x:v>
      </x:c>
      <x:c r="B7" t="n">
        <x:v>1786</x:v>
      </x:c>
      <x:c r="C7" t="str">
        <x:v>Portfolio acquisition population</x:v>
      </x:c>
    </x:row>
    <x:row r="8">
      <x:c r="A8" t="str">
        <x:v>Excluded test-market players</x:v>
      </x:c>
      <x:c r="B8" t="n">
        <x:v>64</x:v>
      </x:c>
      <x:c r="C8" t="str">
        <x:v>Removed before metric calculation</x:v>
      </x:c>
    </x:row>
    <x:row r="9">
      <x:c r="A9" t="str">
        <x:v>Raw events</x:v>
      </x:c>
      <x:c r="B9" t="n">
        <x:v>59639</x:v>
      </x:c>
      <x:c r="C9" t="str">
        <x:v>Before event cleaning</x:v>
      </x:c>
    </x:row>
    <x:row r="10">
      <x:c r="A10" t="str">
        <x:v>Duplicate events removed</x:v>
      </x:c>
      <x:c r="B10" t="n">
        <x:v>13</x:v>
      </x:c>
      <x:c r="C10" t="str">
        <x:v>Duplicate event identifier</x:v>
      </x:c>
    </x:row>
    <x:row r="11">
      <x:c r="A11" t="str">
        <x:v>Pre-install events removed</x:v>
      </x:c>
      <x:c r="B11" t="n">
        <x:v>7</x:v>
      </x:c>
      <x:c r="C11" t="str">
        <x:v>Timestamp earlier than install</x:v>
      </x:c>
    </x:row>
    <x:row r="12">
      <x:c r="A12" t="str">
        <x:v>Clean events</x:v>
      </x:c>
      <x:c r="B12" t="n">
        <x:v>57866</x:v>
      </x:c>
      <x:c r="C12" t="str">
        <x:v>Final behavioral event population</x:v>
      </x:c>
    </x:row>
    <x:row r="13">
      <x:c r="A13" t="str">
        <x:v>Duplicate device IDs</x:v>
      </x:c>
      <x:c r="B13" t="n">
        <x:v>0</x:v>
      </x:c>
      <x:c r="C13" t="str">
        <x:v>Must equal zero</x:v>
      </x:c>
    </x:row>
    <x:row r="14">
      <x:c r="A14" t="str">
        <x:v>Orphan event devices</x:v>
      </x:c>
      <x:c r="B14" t="n">
        <x:v>0</x:v>
      </x:c>
      <x:c r="C14" t="str">
        <x:v>Must equal zero</x:v>
      </x:c>
    </x:row>
    <x:row r="15">
      <x:c r="A15" t="str">
        <x:v>Negative spend rows</x:v>
      </x:c>
      <x:c r="B15" t="n">
        <x:v>0</x:v>
      </x:c>
      <x:c r="C15" t="str">
        <x:v>Must equal zero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5" hidden="0" customWidth="1"/>
  </x:cols>
  <x:sheetData>
    <x:row r="1">
      <x:c r="A1" s="1" t="str">
        <x:v>Mobile Game Marketing Performance</x:v>
      </x:c>
    </x:row>
    <x:row r="2">
      <x:c r="A2" s="2" t="str">
        <x:v>September 2025 | Metric definitions and limitations</x:v>
      </x:c>
    </x:row>
    <x:row r="4">
      <x:c r="A4" s="19" t="str">
        <x:v>Term</x:v>
      </x:c>
      <x:c r="B4" s="19" t="str">
        <x:v>Definition</x:v>
      </x:c>
    </x:row>
    <x:row r="5">
      <x:c r="A5" t="str">
        <x:v>CPI</x:v>
      </x:c>
      <x:c r="B5" s="26" t="str">
        <x:v>Synthetic spend divided by acquired players</x:v>
      </x:c>
    </x:row>
    <x:row r="6">
      <x:c r="A6" t="str">
        <x:v>CTR</x:v>
      </x:c>
      <x:c r="B6" s="26" t="str">
        <x:v>Clicks divided by impressions</x:v>
      </x:c>
    </x:row>
    <x:row r="7">
      <x:c r="A7" t="str">
        <x:v>CVR</x:v>
      </x:c>
      <x:c r="B7" s="26" t="str">
        <x:v>Reported installs divided by clicks</x:v>
      </x:c>
    </x:row>
    <x:row r="8">
      <x:c r="A8" t="str">
        <x:v>D1 D3 D7 D14 retention</x:v>
      </x:c>
      <x:c r="B8" s="26" t="str">
        <x:v>Exact-day session return divided by mature eligible players</x:v>
      </x:c>
    </x:row>
    <x:row r="9">
      <x:c r="A9" t="str">
        <x:v>ROAS</x:v>
      </x:c>
      <x:c r="B9" s="26" t="str">
        <x:v>Synthetic advertising and purchase revenue divided by synthetic spend</x:v>
      </x:c>
    </x:row>
    <x:row r="10">
      <x:c r="A10" t="str">
        <x:v>Cost per D7 retained player</x:v>
      </x:c>
      <x:c r="B10" s="26" t="str">
        <x:v>Synthetic spend divided by players returning on Day 7</x:v>
      </x:c>
    </x:row>
    <x:row r="11">
      <x:c r="A11" t="str">
        <x:v>Tracked player</x:v>
      </x:c>
      <x:c r="B11" s="26" t="str">
        <x:v>Acquired player with at least one qualifying post-install event</x:v>
      </x:c>
    </x:row>
    <x:row r="12">
      <x:c r="A12" t="str">
        <x:v>Limitation</x:v>
      </x:c>
      <x:c r="B12" s="26" t="str">
        <x:v>This workbook is a fictional portfolio demonstration and is not a commercial forecast</x:v>
      </x:c>
    </x:row>
  </x:sheetData>
  <x:mergeCells>
    <x:mergeCell ref="A1:H1"/>
    <x:mergeCell ref="A2:H2"/>
  </x:mergeCells>
  <x:pageMargins left="0.7" right="0.7" top="0.75" bottom="0.75" header="0.3" footer="0.3"/>
</x:worksheet>
</file>