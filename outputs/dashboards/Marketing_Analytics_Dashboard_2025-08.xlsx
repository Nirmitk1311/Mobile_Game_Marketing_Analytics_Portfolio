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32121624e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b999714784d4484"/>
    <x:sheet xmlns:r="http://schemas.openxmlformats.org/officeDocument/2006/relationships" name="Campaign Performance" sheetId="2" r:id="R3a7d0a41d1c549bf"/>
    <x:sheet xmlns:r="http://schemas.openxmlformats.org/officeDocument/2006/relationships" name="Creative Performance" sheetId="3" r:id="R02a0be262a074044"/>
    <x:sheet xmlns:r="http://schemas.openxmlformats.org/officeDocument/2006/relationships" name="Retention" sheetId="4" r:id="Rb08dfc30c7e3460a"/>
    <x:sheet xmlns:r="http://schemas.openxmlformats.org/officeDocument/2006/relationships" name="Data Quality" sheetId="5" r:id="Rd4984342dee44a4c"/>
    <x:sheet xmlns:r="http://schemas.openxmlformats.org/officeDocument/2006/relationships" name="Metric Definitions" sheetId="6" r:id="R73c8cec2ef51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&quot;$&quot;#,##0"/>
    <x:numFmt numFmtId="203" formatCode="@"/>
    <x:numFmt numFmtId="204" formatCode="&quot;$&quot;#,##0.00"/>
    <x:numFmt numFmtId="205" formatCode="&quot;$&quot;0.00"/>
    <x:numFmt numFmtId="206" formatCode="0.0"/>
  </x:numFmts>
  <x:fonts count="7">
    <x:font>
      <x:sz val="11"/>
      <x:name val="Carlito"/>
    </x:font>
    <x:font>
      <x:b/>
      <x:sz val="20"/>
      <x:color rgb="FF1F4E78"/>
      <x:name val="Arial"/>
    </x:font>
    <x:font>
      <x:i/>
      <x:sz val="10"/>
      <x:color rgb="FF475569"/>
      <x:name val="Arial"/>
    </x:font>
    <x:font>
      <x:b/>
      <x:sz val="10"/>
      <x:color rgb="FF7F6000"/>
      <x:name val="Arial"/>
    </x:font>
    <x:font>
      <x:b/>
      <x:sz val="9"/>
      <x:color rgb="FF1F4E78"/>
      <x:name val="Arial"/>
    </x:font>
    <x:font>
      <x:b/>
      <x:sz val="15"/>
      <x:color rgb="FF172033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66f8bf4954061" /><Relationship Type="http://schemas.openxmlformats.org/officeDocument/2006/relationships/theme" Target="/xl/theme/theme1.xml" Id="R07d0a58c75274f65" /><Relationship Type="http://schemas.openxmlformats.org/officeDocument/2006/relationships/sharedStrings" Target="/xl/sharedStrings.xml" Id="Rd645f5921d174355" /><Relationship Type="http://schemas.openxmlformats.org/officeDocument/2006/relationships/worksheet" Target="/xl/worksheets/sheet1.xml" Id="Rbb999714784d4484" /><Relationship Type="http://schemas.openxmlformats.org/officeDocument/2006/relationships/worksheet" Target="/xl/worksheets/sheet2.xml" Id="R3a7d0a41d1c549bf" /><Relationship Type="http://schemas.openxmlformats.org/officeDocument/2006/relationships/worksheet" Target="/xl/worksheets/sheet3.xml" Id="R02a0be262a074044" /><Relationship Type="http://schemas.openxmlformats.org/officeDocument/2006/relationships/worksheet" Target="/xl/worksheets/sheet4.xml" Id="Rb08dfc30c7e3460a" /><Relationship Type="http://schemas.openxmlformats.org/officeDocument/2006/relationships/worksheet" Target="/xl/worksheets/sheet5.xml" Id="Rd4984342dee44a4c" /><Relationship Type="http://schemas.openxmlformats.org/officeDocument/2006/relationships/worksheet" Target="/xl/worksheets/sheet6.xml" Id="R73c8cec2ef514e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35150f0a6f4f83" /><Relationship Type="http://schemas.openxmlformats.org/officeDocument/2006/relationships/chart" Target="/xl/drawings/charts/chart2.xml" Id="Re842e30341254468" /><Relationship Type="http://schemas.openxmlformats.org/officeDocument/2006/relationships/chart" Target="/xl/drawings/charts/chart3.xml" Id="Rc9f456ccdede40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Portfolio retention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Retention</c:v>
          </c:tx>
          <c:marker>
            <c:symbol val="none"/>
          </c:marker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'Dashboard'!$B$14:$B$17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D7 retention by campaign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D7 retention</c:v>
          </c:tx>
          <c:cat>
            <c:strRef>
              <c:f>'Dashboard'!$A$21:$A$28</c:f>
              <c:strCache>
                <c:ptCount val="0"/>
              </c:strCache>
            </c:strRef>
          </c:cat>
          <c:val>
            <c:numRef>
              <c:f>'Dashboard'!$B$21:$B$28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USD</c:v>
          </c:tx>
          <c:cat>
            <c:strRef>
              <c:f>'Dashboard'!$A$32:$A$33</c:f>
              <c:strCache>
                <c:ptCount val="0"/>
              </c:strCache>
            </c:strRef>
          </c:cat>
          <c:val>
            <c:numRef>
              <c:f>'Dashboard'!$B$32:$B$33</c:f>
              <c:numCache>
                <c:formatCode>"$"#,##0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35150f0a6f4f83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42e30341254468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f456ccdede40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6660e5b8dd4a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" t="str">
        <x:v>Mobile Game Marketing Performance</x:v>
      </x:c>
    </x:row>
    <x:row r="2">
      <x:c r="A2" s="2" t="str">
        <x:v>August 2025 | Synthetic portfolio data</x:v>
      </x:c>
    </x:row>
    <x:row r="4">
      <x:c r="A4" s="4" t="str">
        <x:v>All names, identifiers and financial values in this workbook are fictional.</x:v>
      </x:c>
    </x:row>
    <x:row r="6">
      <x:c r="A6" s="8" t="str">
        <x:v>Acquired players</x:v>
      </x:c>
      <x:c r="C6" s="8" t="str">
        <x:v>Tracking rate</x:v>
      </x:c>
      <x:c r="E6" s="8" t="str">
        <x:v>D7 retention</x:v>
      </x:c>
      <x:c r="G6" s="8" t="str">
        <x:v>ROAS</x:v>
      </x:c>
    </x:row>
    <x:row r="7">
      <x:c r="A7" s="10" t="n">
        <x:v>1527</x:v>
      </x:c>
      <x:c r="C7" s="11" t="n">
        <x:v>0.9358218729535036</x:v>
      </x:c>
      <x:c r="E7" s="11" t="n">
        <x:v>0.08741830065359477</x:v>
      </x:c>
      <x:c r="G7" s="11" t="n">
        <x:v>0.12978395412829932</x:v>
      </x:c>
    </x:row>
    <x:row r="9">
      <x:c r="A9" s="8" t="str">
        <x:v>Spend</x:v>
      </x:c>
      <x:c r="C9" s="8" t="str">
        <x:v>Total revenue</x:v>
      </x:c>
      <x:c r="E9" s="8" t="str">
        <x:v>D14 retention</x:v>
      </x:c>
      <x:c r="G9" s="8" t="str">
        <x:v>Validation</x:v>
      </x:c>
    </x:row>
    <x:row r="10">
      <x:c r="A10" s="12" t="n">
        <x:v>6505.1</x:v>
      </x:c>
      <x:c r="C10" s="12" t="n">
        <x:v>844.2575999999999</x:v>
      </x:c>
      <x:c r="E10" s="11" t="n">
        <x:v>0.038288288288288286</x:v>
      </x:c>
      <x:c r="G10" s="13" t="str">
        <x:v>PASS</x:v>
      </x:c>
    </x:row>
    <x:row r="13">
      <x:c r="A13" s="19" t="str">
        <x:v>Return day</x:v>
      </x:c>
      <x:c r="B13" s="19" t="str">
        <x:v>Retention</x:v>
      </x:c>
    </x:row>
    <x:row r="14">
      <x:c r="A14" t="str">
        <x:v>D1</x:v>
      </x:c>
      <x:c r="B14" s="20" t="n">
        <x:v>0.3780487804878049</x:v>
      </x:c>
    </x:row>
    <x:row r="15">
      <x:c r="A15" t="str">
        <x:v>D3</x:v>
      </x:c>
      <x:c r="B15" s="20" t="n">
        <x:v>0.1754894851341552</x:v>
      </x:c>
    </x:row>
    <x:row r="16">
      <x:c r="A16" t="str">
        <x:v>D7</x:v>
      </x:c>
      <x:c r="B16" s="20" t="n">
        <x:v>0.08741830065359477</x:v>
      </x:c>
    </x:row>
    <x:row r="17">
      <x:c r="A17" t="str">
        <x:v>D14</x:v>
      </x:c>
      <x:c r="B17" s="20" t="n">
        <x:v>0.038288288288288286</x:v>
      </x:c>
    </x:row>
    <x:row r="20">
      <x:c r="A20" s="19" t="str">
        <x:v>Campaign</x:v>
      </x:c>
      <x:c r="B20" s="19" t="str">
        <x:v>D7 retention</x:v>
      </x:c>
    </x:row>
    <x:row r="21">
      <x:c r="A21" t="str">
        <x:v>Playable Premium</x:v>
      </x:c>
      <x:c r="B21" s="20" t="n">
        <x:v>0.12690355329949238</x:v>
      </x:c>
    </x:row>
    <x:row r="22">
      <x:c r="A22" t="str">
        <x:v>Store Intent</x:v>
      </x:c>
      <x:c r="B22" s="20" t="n">
        <x:v>0.13333333333333333</x:v>
      </x:c>
    </x:row>
    <x:row r="23">
      <x:c r="A23" t="str">
        <x:v>Social Gameplay</x:v>
      </x:c>
      <x:c r="B23" s="20" t="n">
        <x:v>0.08372093023255814</x:v>
      </x:c>
    </x:row>
    <x:row r="24">
      <x:c r="A24" t="str">
        <x:v>Playable Broad</x:v>
      </x:c>
      <x:c r="B24" s="20" t="n">
        <x:v>0.09130434782608696</x:v>
      </x:c>
    </x:row>
    <x:row r="25">
      <x:c r="A25" t="str">
        <x:v>Search Value North</x:v>
      </x:c>
      <x:c r="B25" s="20" t="n">
        <x:v>0.05128205128205128</x:v>
      </x:c>
    </x:row>
    <x:row r="26">
      <x:c r="A26" t="str">
        <x:v>Social Lifestyle</x:v>
      </x:c>
      <x:c r="B26" s="20" t="n">
        <x:v>0.08333333333333333</x:v>
      </x:c>
    </x:row>
    <x:row r="27">
      <x:c r="A27" t="str">
        <x:v>Search Value Global</x:v>
      </x:c>
      <x:c r="B27" s="20" t="n">
        <x:v>0.059322033898305086</x:v>
      </x:c>
    </x:row>
    <x:row r="28">
      <x:c r="A28" t="str">
        <x:v>Discovery Rewarded</x:v>
      </x:c>
      <x:c r="B28" s="20" t="n">
        <x:v>0.019801980198019802</x:v>
      </x:c>
    </x:row>
    <x:row r="31">
      <x:c r="A31" s="19" t="str">
        <x:v>Revenue type</x:v>
      </x:c>
      <x:c r="B31" s="19" t="str">
        <x:v>USD</x:v>
      </x:c>
    </x:row>
    <x:row r="32">
      <x:c r="A32" t="str">
        <x:v>Advertising</x:v>
      </x:c>
      <x:c r="B32" s="24" t="n">
        <x:v>220.7776</x:v>
      </x:c>
    </x:row>
    <x:row r="33">
      <x:c r="A33" t="str">
        <x:v>Purchases</x:v>
      </x:c>
      <x:c r="B33" s="24" t="n">
        <x:v>623.48</x:v>
      </x:c>
    </x:row>
  </x:sheetData>
  <x:mergeCells>
    <x:mergeCell ref="A1:H1"/>
    <x:mergeCell ref="A2:H2"/>
    <x:mergeCell ref="A4:H4"/>
  </x:mergeCells>
  <x:pageMargins left="0.7" right="0.7" top="0.75" bottom="0.75" header="0.3" footer="0.3"/>
  <x:drawing xmlns:r="http://schemas.openxmlformats.org/officeDocument/2006/relationships" r:id="R106660e5b8dd4aa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>
      <x:c r="A1" s="1" t="str">
        <x:v>Mobile Game Marketing Performance</x:v>
      </x:c>
    </x:row>
    <x:row r="2">
      <x:c r="A2" s="2" t="str">
        <x:v>August 2025 | Campaign economics and player quality</x:v>
      </x:c>
    </x:row>
    <x:row r="4">
      <x:c r="A4" s="19" t="str">
        <x:v>Campaign</x:v>
      </x:c>
      <x:c r="B4" s="19" t="str">
        <x:v>Source</x:v>
      </x:c>
      <x:c r="C4" s="19" t="str">
        <x:v>Platform</x:v>
      </x:c>
      <x:c r="D4" s="19" t="str">
        <x:v>Lifecycle</x:v>
      </x:c>
      <x:c r="E4" s="19" t="str">
        <x:v>Impressions</x:v>
      </x:c>
      <x:c r="F4" s="19" t="str">
        <x:v>Clicks</x:v>
      </x:c>
      <x:c r="G4" s="19" t="str">
        <x:v>Players</x:v>
      </x:c>
      <x:c r="H4" s="19" t="str">
        <x:v>Spend</x:v>
      </x:c>
      <x:c r="I4" s="19" t="str">
        <x:v>Revenue</x:v>
      </x:c>
      <x:c r="J4" s="19" t="str">
        <x:v>D1 eligible</x:v>
      </x:c>
      <x:c r="K4" s="19" t="str">
        <x:v>D1 returned</x:v>
      </x:c>
      <x:c r="L4" s="19" t="str">
        <x:v>D3 eligible</x:v>
      </x:c>
      <x:c r="M4" s="19" t="str">
        <x:v>D3 returned</x:v>
      </x:c>
      <x:c r="N4" s="19" t="str">
        <x:v>D7 eligible</x:v>
      </x:c>
      <x:c r="O4" s="19" t="str">
        <x:v>D7 returned</x:v>
      </x:c>
      <x:c r="P4" s="19" t="str">
        <x:v>D14 eligible</x:v>
      </x:c>
      <x:c r="Q4" s="19" t="str">
        <x:v>D14 returned</x:v>
      </x:c>
      <x:c r="R4" s="19" t="str">
        <x:v>Sessions</x:v>
      </x:c>
      <x:c r="S4" s="19" t="str">
        <x:v>Active days</x:v>
      </x:c>
      <x:c r="T4" s="19" t="str">
        <x:v>Levels</x:v>
      </x:c>
      <x:c r="U4" s="19" t="str">
        <x:v>Ad impressions</x:v>
      </x:c>
      <x:c r="V4" s="19" t="str">
        <x:v>CPI</x:v>
      </x:c>
      <x:c r="W4" s="19" t="str">
        <x:v>CTR</x:v>
      </x:c>
      <x:c r="X4" s="19" t="str">
        <x:v>D1 retention</x:v>
      </x:c>
      <x:c r="Y4" s="19" t="str">
        <x:v>D3 retention</x:v>
      </x:c>
      <x:c r="Z4" s="19" t="str">
        <x:v>D7 retention</x:v>
      </x:c>
      <x:c r="AA4" s="19" t="str">
        <x:v>D14 retention</x:v>
      </x:c>
      <x:c r="AB4" s="19" t="str">
        <x:v>Sessions/player</x:v>
      </x:c>
      <x:c r="AC4" s="19" t="str">
        <x:v>Levels/player</x:v>
      </x:c>
      <x:c r="AD4" s="19" t="str">
        <x:v>ROAS</x:v>
      </x:c>
      <x:c r="AE4" s="19" t="str">
        <x:v>Cost/D7 retained</x:v>
      </x:c>
    </x:row>
    <x:row r="5">
      <x:c r="A5" t="str">
        <x:v>Playable Premium</x:v>
      </x:c>
      <x:c r="B5" t="str">
        <x:v>Game Network</x:v>
      </x:c>
      <x:c r="C5" t="str">
        <x:v>iOS</x:v>
      </x:c>
      <x:c r="D5" t="str">
        <x:v>active</x:v>
      </x:c>
      <x:c r="E5" t="n">
        <x:v>71964</x:v>
      </x:c>
      <x:c r="F5" t="n">
        <x:v>3011</x:v>
      </x:c>
      <x:c r="G5" t="n">
        <x:v>261</x:v>
      </x:c>
      <x:c r="H5" s="21" t="n">
        <x:v>1273.94</x:v>
      </x:c>
      <x:c r="I5" s="21" t="n">
        <x:v>215.5063</x:v>
      </x:c>
      <x:c r="J5" t="n">
        <x:v>246</x:v>
      </x:c>
      <x:c r="K5" t="n">
        <x:v>112</x:v>
      </x:c>
      <x:c r="L5" t="n">
        <x:v>225</x:v>
      </x:c>
      <x:c r="M5" t="n">
        <x:v>58</x:v>
      </x:c>
      <x:c r="N5" t="n">
        <x:v>197</x:v>
      </x:c>
      <x:c r="O5" t="n">
        <x:v>25</x:v>
      </x:c>
      <x:c r="P5" t="n">
        <x:v>126</x:v>
      </x:c>
      <x:c r="Q5" t="n">
        <x:v>10</x:v>
      </x:c>
      <x:c r="R5" t="n">
        <x:v>1295</x:v>
      </x:c>
      <x:c r="S5" t="n">
        <x:v>689</x:v>
      </x:c>
      <x:c r="T5" t="n">
        <x:v>6561</x:v>
      </x:c>
      <x:c r="U5" t="n">
        <x:v>2607</x:v>
      </x:c>
      <x:c r="V5" s="22" t="n">
        <x:f>IF(G5=0,"",H5/G5)</x:f>
        <x:v>4.880996168582375</x:v>
      </x:c>
      <x:c r="W5" s="20" t="n">
        <x:f>IF(E5=0,"",F5/E5)</x:f>
        <x:v>0.041840364626757824</x:v>
      </x:c>
      <x:c r="X5" s="20" t="n">
        <x:f>IF(J5=0,"",K5/J5)</x:f>
        <x:v>0.45528455284552843</x:v>
      </x:c>
      <x:c r="Y5" s="20" t="n">
        <x:f>IF(L5=0,"",M5/L5)</x:f>
        <x:v>0.2577777777777778</x:v>
      </x:c>
      <x:c r="Z5" s="20" t="n">
        <x:f>IF(N5=0,"",O5/N5)</x:f>
        <x:v>0.12690355329949238</x:v>
      </x:c>
      <x:c r="AA5" s="20" t="n">
        <x:f>IF(P5=0,"",Q5/P5)</x:f>
        <x:v>0.07936507936507936</x:v>
      </x:c>
      <x:c r="AB5" s="23" t="n">
        <x:f>IF(G5=0,"",R5/G5)</x:f>
        <x:v>4.961685823754789</x:v>
      </x:c>
      <x:c r="AC5" s="23" t="n">
        <x:f>IF(G5=0,"",T5/G5)</x:f>
        <x:v>25.137931034482758</x:v>
      </x:c>
      <x:c r="AD5" s="20" t="n">
        <x:f>IF(H5=0,"",I5/H5)</x:f>
        <x:v>0.16916518831342137</x:v>
      </x:c>
      <x:c r="AE5" s="22" t="n">
        <x:f>IF(O5=0,"",H5/O5)</x:f>
        <x:v>50.9576</x:v>
      </x:c>
    </x:row>
    <x:row r="6">
      <x:c r="A6" t="str">
        <x:v>Store Intent</x:v>
      </x:c>
      <x:c r="B6" t="str">
        <x:v>Store Search</x:v>
      </x:c>
      <x:c r="C6" t="str">
        <x:v>iOS</x:v>
      </x:c>
      <x:c r="D6" t="str">
        <x:v>active</x:v>
      </x:c>
      <x:c r="E6" t="n">
        <x:v>37218</x:v>
      </x:c>
      <x:c r="F6" t="n">
        <x:v>2483</x:v>
      </x:c>
      <x:c r="G6" t="n">
        <x:v>197</x:v>
      </x:c>
      <x:c r="H6" s="21" t="n">
        <x:v>1252.56</x:v>
      </x:c>
      <x:c r="I6" s="21" t="n">
        <x:v>153.27870000000001</x:v>
      </x:c>
      <x:c r="J6" t="n">
        <x:v>192</x:v>
      </x:c>
      <x:c r="K6" t="n">
        <x:v>94</x:v>
      </x:c>
      <x:c r="L6" t="n">
        <x:v>177</x:v>
      </x:c>
      <x:c r="M6" t="n">
        <x:v>37</x:v>
      </x:c>
      <x:c r="N6" t="n">
        <x:v>150</x:v>
      </x:c>
      <x:c r="O6" t="n">
        <x:v>20</x:v>
      </x:c>
      <x:c r="P6" t="n">
        <x:v>114</x:v>
      </x:c>
      <x:c r="Q6" t="n">
        <x:v>4</x:v>
      </x:c>
      <x:c r="R6" t="n">
        <x:v>1019</x:v>
      </x:c>
      <x:c r="S6" t="n">
        <x:v>516</x:v>
      </x:c>
      <x:c r="T6" t="n">
        <x:v>5417</x:v>
      </x:c>
      <x:c r="U6" t="n">
        <x:v>2064</x:v>
      </x:c>
      <x:c r="V6" s="22" t="n">
        <x:f>IF(G6=0,"",H6/G6)</x:f>
        <x:v>6.358172588832487</x:v>
      </x:c>
      <x:c r="W6" s="20" t="n">
        <x:f>IF(E6=0,"",F6/E6)</x:f>
        <x:v>0.06671503036165297</x:v>
      </x:c>
      <x:c r="X6" s="20" t="n">
        <x:f>IF(J6=0,"",K6/J6)</x:f>
        <x:v>0.4895833333333333</x:v>
      </x:c>
      <x:c r="Y6" s="20" t="n">
        <x:f>IF(L6=0,"",M6/L6)</x:f>
        <x:v>0.20903954802259886</x:v>
      </x:c>
      <x:c r="Z6" s="20" t="n">
        <x:f>IF(N6=0,"",O6/N6)</x:f>
        <x:v>0.13333333333333333</x:v>
      </x:c>
      <x:c r="AA6" s="20" t="n">
        <x:f>IF(P6=0,"",Q6/P6)</x:f>
        <x:v>0.03508771929824561</x:v>
      </x:c>
      <x:c r="AB6" s="23" t="n">
        <x:f>IF(G6=0,"",R6/G6)</x:f>
        <x:v>5.1725888324873095</x:v>
      </x:c>
      <x:c r="AC6" s="23" t="n">
        <x:f>IF(G6=0,"",T6/G6)</x:f>
        <x:v>27.497461928934012</x:v>
      </x:c>
      <x:c r="AD6" s="20" t="n">
        <x:f>IF(H6=0,"",I6/H6)</x:f>
        <x:v>0.12237234144472123</x:v>
      </x:c>
      <x:c r="AE6" s="22" t="n">
        <x:f>IF(O6=0,"",H6/O6)</x:f>
        <x:v>62.628</x:v>
      </x:c>
    </x:row>
    <x:row r="7">
      <x:c r="A7" t="str">
        <x:v>Social Gameplay</x:v>
      </x:c>
      <x:c r="B7" t="str">
        <x:v>Social Network</x:v>
      </x:c>
      <x:c r="C7" t="str">
        <x:v>iOS</x:v>
      </x:c>
      <x:c r="D7" t="str">
        <x:v>active</x:v>
      </x:c>
      <x:c r="E7" t="n">
        <x:v>80850</x:v>
      </x:c>
      <x:c r="F7" t="n">
        <x:v>3884</x:v>
      </x:c>
      <x:c r="G7" t="n">
        <x:v>279</x:v>
      </x:c>
      <x:c r="H7" s="21" t="n">
        <x:v>1130.86</x:v>
      </x:c>
      <x:c r="I7" s="21" t="n">
        <x:v>113.3018</x:v>
      </x:c>
      <x:c r="J7" t="n">
        <x:v>270</x:v>
      </x:c>
      <x:c r="K7" t="n">
        <x:v>91</x:v>
      </x:c>
      <x:c r="L7" t="n">
        <x:v>255</x:v>
      </x:c>
      <x:c r="M7" t="n">
        <x:v>40</x:v>
      </x:c>
      <x:c r="N7" t="n">
        <x:v>215</x:v>
      </x:c>
      <x:c r="O7" t="n">
        <x:v>18</x:v>
      </x:c>
      <x:c r="P7" t="n">
        <x:v>139</x:v>
      </x:c>
      <x:c r="Q7" t="n">
        <x:v>5</x:v>
      </x:c>
      <x:c r="R7" t="n">
        <x:v>987</x:v>
      </x:c>
      <x:c r="S7" t="n">
        <x:v>574</x:v>
      </x:c>
      <x:c r="T7" t="n">
        <x:v>4196</x:v>
      </x:c>
      <x:c r="U7" t="n">
        <x:v>1529</x:v>
      </x:c>
      <x:c r="V7" s="22" t="n">
        <x:f>IF(G7=0,"",H7/G7)</x:f>
        <x:v>4.0532616487455195</x:v>
      </x:c>
      <x:c r="W7" s="20" t="n">
        <x:f>IF(E7=0,"",F7/E7)</x:f>
        <x:v>0.0480395794681509</x:v>
      </x:c>
      <x:c r="X7" s="20" t="n">
        <x:f>IF(J7=0,"",K7/J7)</x:f>
        <x:v>0.337037037037037</x:v>
      </x:c>
      <x:c r="Y7" s="20" t="n">
        <x:f>IF(L7=0,"",M7/L7)</x:f>
        <x:v>0.1568627450980392</x:v>
      </x:c>
      <x:c r="Z7" s="20" t="n">
        <x:f>IF(N7=0,"",O7/N7)</x:f>
        <x:v>0.08372093023255814</x:v>
      </x:c>
      <x:c r="AA7" s="20" t="n">
        <x:f>IF(P7=0,"",Q7/P7)</x:f>
        <x:v>0.03597122302158273</x:v>
      </x:c>
      <x:c r="AB7" s="23" t="n">
        <x:f>IF(G7=0,"",R7/G7)</x:f>
        <x:v>3.5376344086021505</x:v>
      </x:c>
      <x:c r="AC7" s="23" t="n">
        <x:f>IF(G7=0,"",T7/G7)</x:f>
        <x:v>15.039426523297491</x:v>
      </x:c>
      <x:c r="AD7" s="20" t="n">
        <x:f>IF(H7=0,"",I7/H7)</x:f>
        <x:v>0.10019082821923139</x:v>
      </x:c>
      <x:c r="AE7" s="22" t="n">
        <x:f>IF(O7=0,"",H7/O7)</x:f>
        <x:v>62.82555555555555</x:v>
      </x:c>
    </x:row>
    <x:row r="8">
      <x:c r="A8" t="str">
        <x:v>Playable Broad</x:v>
      </x:c>
      <x:c r="B8" t="str">
        <x:v>Game Network</x:v>
      </x:c>
      <x:c r="C8" t="str">
        <x:v>iOS</x:v>
      </x:c>
      <x:c r="D8" t="str">
        <x:v>active</x:v>
      </x:c>
      <x:c r="E8" t="n">
        <x:v>105205</x:v>
      </x:c>
      <x:c r="F8" t="n">
        <x:v>3950</x:v>
      </x:c>
      <x:c r="G8" t="n">
        <x:v>295</x:v>
      </x:c>
      <x:c r="H8" s="21" t="n">
        <x:v>1028.66</x:v>
      </x:c>
      <x:c r="I8" s="21" t="n">
        <x:v>146.9178</x:v>
      </x:c>
      <x:c r="J8" t="n">
        <x:v>288</x:v>
      </x:c>
      <x:c r="K8" t="n">
        <x:v>133</x:v>
      </x:c>
      <x:c r="L8" t="n">
        <x:v>261</x:v>
      </x:c>
      <x:c r="M8" t="n">
        <x:v>60</x:v>
      </x:c>
      <x:c r="N8" t="n">
        <x:v>230</x:v>
      </x:c>
      <x:c r="O8" t="n">
        <x:v>21</x:v>
      </x:c>
      <x:c r="P8" t="n">
        <x:v>162</x:v>
      </x:c>
      <x:c r="Q8" t="n">
        <x:v>7</x:v>
      </x:c>
      <x:c r="R8" t="n">
        <x:v>1337</x:v>
      </x:c>
      <x:c r="S8" t="n">
        <x:v>741</x:v>
      </x:c>
      <x:c r="T8" t="n">
        <x:v>6436</x:v>
      </x:c>
      <x:c r="U8" t="n">
        <x:v>2383</x:v>
      </x:c>
      <x:c r="V8" s="22" t="n">
        <x:f>IF(G8=0,"",H8/G8)</x:f>
        <x:v>3.4869830508474577</x:v>
      </x:c>
      <x:c r="W8" s="20" t="n">
        <x:f>IF(E8=0,"",F8/E8)</x:f>
        <x:v>0.037545744023573024</x:v>
      </x:c>
      <x:c r="X8" s="20" t="n">
        <x:f>IF(J8=0,"",K8/J8)</x:f>
        <x:v>0.4618055555555556</x:v>
      </x:c>
      <x:c r="Y8" s="20" t="n">
        <x:f>IF(L8=0,"",M8/L8)</x:f>
        <x:v>0.22988505747126436</x:v>
      </x:c>
      <x:c r="Z8" s="20" t="n">
        <x:f>IF(N8=0,"",O8/N8)</x:f>
        <x:v>0.09130434782608696</x:v>
      </x:c>
      <x:c r="AA8" s="20" t="n">
        <x:f>IF(P8=0,"",Q8/P8)</x:f>
        <x:v>0.043209876543209874</x:v>
      </x:c>
      <x:c r="AB8" s="23" t="n">
        <x:f>IF(G8=0,"",R8/G8)</x:f>
        <x:v>4.532203389830508</x:v>
      </x:c>
      <x:c r="AC8" s="23" t="n">
        <x:f>IF(G8=0,"",T8/G8)</x:f>
        <x:v>21.816949152542374</x:v>
      </x:c>
      <x:c r="AD8" s="20" t="n">
        <x:f>IF(H8=0,"",I8/H8)</x:f>
        <x:v>0.14282445122781093</x:v>
      </x:c>
      <x:c r="AE8" s="22" t="n">
        <x:f>IF(O8=0,"",H8/O8)</x:f>
        <x:v>48.983809523809526</x:v>
      </x:c>
    </x:row>
    <x:row r="9">
      <x:c r="A9" t="str">
        <x:v>Search Value North</x:v>
      </x:c>
      <x:c r="B9" t="str">
        <x:v>Search Network</x:v>
      </x:c>
      <x:c r="C9" t="str">
        <x:v>Android</x:v>
      </x:c>
      <x:c r="D9" t="str">
        <x:v>active</x:v>
      </x:c>
      <x:c r="E9" t="n">
        <x:v>76772</x:v>
      </x:c>
      <x:c r="F9" t="n">
        <x:v>2354</x:v>
      </x:c>
      <x:c r="G9" t="n">
        <x:v>142</x:v>
      </x:c>
      <x:c r="H9" s="21" t="n">
        <x:v>642.94</x:v>
      </x:c>
      <x:c r="I9" s="21" t="n">
        <x:v>59.4493</x:v>
      </x:c>
      <x:c r="J9" t="n">
        <x:v>137</x:v>
      </x:c>
      <x:c r="K9" t="n">
        <x:v>43</x:v>
      </x:c>
      <x:c r="L9" t="n">
        <x:v>128</x:v>
      </x:c>
      <x:c r="M9" t="n">
        <x:v>21</x:v>
      </x:c>
      <x:c r="N9" t="n">
        <x:v>117</x:v>
      </x:c>
      <x:c r="O9" t="n">
        <x:v>6</x:v>
      </x:c>
      <x:c r="P9" t="n">
        <x:v>81</x:v>
      </x:c>
      <x:c r="Q9" t="n">
        <x:v>3</x:v>
      </x:c>
      <x:c r="R9" t="n">
        <x:v>494</x:v>
      </x:c>
      <x:c r="S9" t="n">
        <x:v>277</x:v>
      </x:c>
      <x:c r="T9" t="n">
        <x:v>2179</x:v>
      </x:c>
      <x:c r="U9" t="n">
        <x:v>796</x:v>
      </x:c>
      <x:c r="V9" s="22" t="n">
        <x:f>IF(G9=0,"",H9/G9)</x:f>
        <x:v>4.52774647887324</x:v>
      </x:c>
      <x:c r="W9" s="20" t="n">
        <x:f>IF(E9=0,"",F9/E9)</x:f>
        <x:v>0.030662220601260875</x:v>
      </x:c>
      <x:c r="X9" s="20" t="n">
        <x:f>IF(J9=0,"",K9/J9)</x:f>
        <x:v>0.31386861313868614</x:v>
      </x:c>
      <x:c r="Y9" s="20" t="n">
        <x:f>IF(L9=0,"",M9/L9)</x:f>
        <x:v>0.1640625</x:v>
      </x:c>
      <x:c r="Z9" s="20" t="n">
        <x:f>IF(N9=0,"",O9/N9)</x:f>
        <x:v>0.05128205128205128</x:v>
      </x:c>
      <x:c r="AA9" s="20" t="n">
        <x:f>IF(P9=0,"",Q9/P9)</x:f>
        <x:v>0.037037037037037035</x:v>
      </x:c>
      <x:c r="AB9" s="23" t="n">
        <x:f>IF(G9=0,"",R9/G9)</x:f>
        <x:v>3.4788732394366195</x:v>
      </x:c>
      <x:c r="AC9" s="23" t="n">
        <x:f>IF(G9=0,"",T9/G9)</x:f>
        <x:v>15.345070422535212</x:v>
      </x:c>
      <x:c r="AD9" s="20" t="n">
        <x:f>IF(H9=0,"",I9/H9)</x:f>
        <x:v>0.09246477120726661</x:v>
      </x:c>
      <x:c r="AE9" s="22" t="n">
        <x:f>IF(O9=0,"",H9/O9)</x:f>
        <x:v>107.15666666666668</x:v>
      </x:c>
    </x:row>
    <x:row r="10">
      <x:c r="A10" t="str">
        <x:v>Social Lifestyle</x:v>
      </x:c>
      <x:c r="B10" t="str">
        <x:v>Social Network</x:v>
      </x:c>
      <x:c r="C10" t="str">
        <x:v>iOS</x:v>
      </x:c>
      <x:c r="D10" t="str">
        <x:v>stopped</x:v>
      </x:c>
      <x:c r="E10" t="n">
        <x:v>26285</x:v>
      </x:c>
      <x:c r="F10" t="n">
        <x:v>1403</x:v>
      </x:c>
      <x:c r="G10" t="n">
        <x:v>96</x:v>
      </x:c>
      <x:c r="H10" s="21" t="n">
        <x:v>488.35</x:v>
      </x:c>
      <x:c r="I10" s="21" t="n">
        <x:v>19.7301</x:v>
      </x:c>
      <x:c r="J10" t="n">
        <x:v>96</x:v>
      </x:c>
      <x:c r="K10" t="n">
        <x:v>27</x:v>
      </x:c>
      <x:c r="L10" t="n">
        <x:v>96</x:v>
      </x:c>
      <x:c r="M10" t="n">
        <x:v>8</x:v>
      </x:c>
      <x:c r="N10" t="n">
        <x:v>96</x:v>
      </x:c>
      <x:c r="O10" t="n">
        <x:v>8</x:v>
      </x:c>
      <x:c r="P10" t="n">
        <x:v>93</x:v>
      </x:c>
      <x:c r="Q10" t="n">
        <x:v>1</x:v>
      </x:c>
      <x:c r="R10" t="n">
        <x:v>258</x:v>
      </x:c>
      <x:c r="S10" t="n">
        <x:v>157</x:v>
      </x:c>
      <x:c r="T10" t="n">
        <x:v>1002</x:v>
      </x:c>
      <x:c r="U10" t="n">
        <x:v>362</x:v>
      </x:c>
      <x:c r="V10" s="22" t="n">
        <x:f>IF(G10=0,"",H10/G10)</x:f>
        <x:v>5.086979166666667</x:v>
      </x:c>
      <x:c r="W10" s="20" t="n">
        <x:f>IF(E10=0,"",F10/E10)</x:f>
        <x:v>0.053376450447023015</x:v>
      </x:c>
      <x:c r="X10" s="20" t="n">
        <x:f>IF(J10=0,"",K10/J10)</x:f>
        <x:v>0.28125</x:v>
      </x:c>
      <x:c r="Y10" s="20" t="n">
        <x:f>IF(L10=0,"",M10/L10)</x:f>
        <x:v>0.08333333333333333</x:v>
      </x:c>
      <x:c r="Z10" s="20" t="n">
        <x:f>IF(N10=0,"",O10/N10)</x:f>
        <x:v>0.08333333333333333</x:v>
      </x:c>
      <x:c r="AA10" s="20" t="n">
        <x:f>IF(P10=0,"",Q10/P10)</x:f>
        <x:v>0.010752688172043012</x:v>
      </x:c>
      <x:c r="AB10" s="23" t="n">
        <x:f>IF(G10=0,"",R10/G10)</x:f>
        <x:v>2.6875</x:v>
      </x:c>
      <x:c r="AC10" s="23" t="n">
        <x:f>IF(G10=0,"",T10/G10)</x:f>
        <x:v>10.4375</x:v>
      </x:c>
      <x:c r="AD10" s="20" t="n">
        <x:f>IF(H10=0,"",I10/H10)</x:f>
        <x:v>0.04040155626087847</x:v>
      </x:c>
      <x:c r="AE10" s="22" t="n">
        <x:f>IF(O10=0,"",H10/O10)</x:f>
        <x:v>61.04375</x:v>
      </x:c>
    </x:row>
    <x:row r="11">
      <x:c r="A11" t="str">
        <x:v>Search Value Global</x:v>
      </x:c>
      <x:c r="B11" t="str">
        <x:v>Search Network</x:v>
      </x:c>
      <x:c r="C11" t="str">
        <x:v>Android</x:v>
      </x:c>
      <x:c r="D11" t="str">
        <x:v>active</x:v>
      </x:c>
      <x:c r="E11" t="n">
        <x:v>100963</x:v>
      </x:c>
      <x:c r="F11" t="n">
        <x:v>2588</x:v>
      </x:c>
      <x:c r="G11" t="n">
        <x:v>156</x:v>
      </x:c>
      <x:c r="H11" s="21" t="n">
        <x:v>431.01</x:v>
      </x:c>
      <x:c r="I11" s="21" t="n">
        <x:v>89.4987</x:v>
      </x:c>
      <x:c r="J11" t="n">
        <x:v>146</x:v>
      </x:c>
      <x:c r="K11" t="n">
        <x:v>35</x:v>
      </x:c>
      <x:c r="L11" t="n">
        <x:v>136</x:v>
      </x:c>
      <x:c r="M11" t="n">
        <x:v>11</x:v>
      </x:c>
      <x:c r="N11" t="n">
        <x:v>118</x:v>
      </x:c>
      <x:c r="O11" t="n">
        <x:v>7</x:v>
      </x:c>
      <x:c r="P11" t="n">
        <x:v>77</x:v>
      </x:c>
      <x:c r="Q11" t="n">
        <x:v>1</x:v>
      </x:c>
      <x:c r="R11" t="n">
        <x:v>438</x:v>
      </x:c>
      <x:c r="S11" t="n">
        <x:v>264</x:v>
      </x:c>
      <x:c r="T11" t="n">
        <x:v>1843</x:v>
      </x:c>
      <x:c r="U11" t="n">
        <x:v>630</x:v>
      </x:c>
      <x:c r="V11" s="22" t="n">
        <x:f>IF(G11=0,"",H11/G11)</x:f>
        <x:v>2.7628846153846154</x:v>
      </x:c>
      <x:c r="W11" s="20" t="n">
        <x:f>IF(E11=0,"",F11/E11)</x:f>
        <x:v>0.025633152739122252</x:v>
      </x:c>
      <x:c r="X11" s="20" t="n">
        <x:f>IF(J11=0,"",K11/J11)</x:f>
        <x:v>0.23972602739726026</x:v>
      </x:c>
      <x:c r="Y11" s="20" t="n">
        <x:f>IF(L11=0,"",M11/L11)</x:f>
        <x:v>0.08088235294117647</x:v>
      </x:c>
      <x:c r="Z11" s="20" t="n">
        <x:f>IF(N11=0,"",O11/N11)</x:f>
        <x:v>0.059322033898305086</x:v>
      </x:c>
      <x:c r="AA11" s="20" t="n">
        <x:f>IF(P11=0,"",Q11/P11)</x:f>
        <x:v>0.012987012987012988</x:v>
      </x:c>
      <x:c r="AB11" s="23" t="n">
        <x:f>IF(G11=0,"",R11/G11)</x:f>
        <x:v>2.8076923076923075</x:v>
      </x:c>
      <x:c r="AC11" s="23" t="n">
        <x:f>IF(G11=0,"",T11/G11)</x:f>
        <x:v>11.814102564102564</x:v>
      </x:c>
      <x:c r="AD11" s="20" t="n">
        <x:f>IF(H11=0,"",I11/H11)</x:f>
        <x:v>0.207648778450616</x:v>
      </x:c>
      <x:c r="AE11" s="22" t="n">
        <x:f>IF(O11=0,"",H11/O11)</x:f>
        <x:v>61.57285714285714</x:v>
      </x:c>
    </x:row>
    <x:row r="12">
      <x:c r="A12" t="str">
        <x:v>Discovery Rewarded</x:v>
      </x:c>
      <x:c r="B12" t="str">
        <x:v>Discovery Network</x:v>
      </x:c>
      <x:c r="C12" t="str">
        <x:v>Android</x:v>
      </x:c>
      <x:c r="D12" t="str">
        <x:v>stopped</x:v>
      </x:c>
      <x:c r="E12" t="n">
        <x:v>30887</x:v>
      </x:c>
      <x:c r="F12" t="n">
        <x:v>1824</x:v>
      </x:c>
      <x:c r="G12" t="n">
        <x:v>101</x:v>
      </x:c>
      <x:c r="H12" s="21" t="n">
        <x:v>256.78</x:v>
      </x:c>
      <x:c r="I12" s="21" t="n">
        <x:v>46.5749</x:v>
      </x:c>
      <x:c r="J12" t="n">
        <x:v>101</x:v>
      </x:c>
      <x:c r="K12" t="n">
        <x:v>23</x:v>
      </x:c>
      <x:c r="L12" t="n">
        <x:v>101</x:v>
      </x:c>
      <x:c r="M12" t="n">
        <x:v>7</x:v>
      </x:c>
      <x:c r="N12" t="n">
        <x:v>101</x:v>
      </x:c>
      <x:c r="O12" t="n">
        <x:v>2</x:v>
      </x:c>
      <x:c r="P12" t="n">
        <x:v>96</x:v>
      </x:c>
      <x:c r="Q12" t="n">
        <x:v>3</x:v>
      </x:c>
      <x:c r="R12" t="n">
        <x:v>248</x:v>
      </x:c>
      <x:c r="S12" t="n">
        <x:v>144</x:v>
      </x:c>
      <x:c r="T12" t="n">
        <x:v>981</x:v>
      </x:c>
      <x:c r="U12" t="n">
        <x:v>326</x:v>
      </x:c>
      <x:c r="V12" s="22" t="n">
        <x:f>IF(G12=0,"",H12/G12)</x:f>
        <x:v>2.542376237623762</x:v>
      </x:c>
      <x:c r="W12" s="20" t="n">
        <x:f>IF(E12=0,"",F12/E12)</x:f>
        <x:v>0.05905397092627966</x:v>
      </x:c>
      <x:c r="X12" s="20" t="n">
        <x:f>IF(J12=0,"",K12/J12)</x:f>
        <x:v>0.22772277227722773</x:v>
      </x:c>
      <x:c r="Y12" s="20" t="n">
        <x:f>IF(L12=0,"",M12/L12)</x:f>
        <x:v>0.06930693069306931</x:v>
      </x:c>
      <x:c r="Z12" s="20" t="n">
        <x:f>IF(N12=0,"",O12/N12)</x:f>
        <x:v>0.019801980198019802</x:v>
      </x:c>
      <x:c r="AA12" s="20" t="n">
        <x:f>IF(P12=0,"",Q12/P12)</x:f>
        <x:v>0.03125</x:v>
      </x:c>
      <x:c r="AB12" s="23" t="n">
        <x:f>IF(G12=0,"",R12/G12)</x:f>
        <x:v>2.4554455445544554</x:v>
      </x:c>
      <x:c r="AC12" s="23" t="n">
        <x:f>IF(G12=0,"",T12/G12)</x:f>
        <x:v>9.712871287128714</x:v>
      </x:c>
      <x:c r="AD12" s="20" t="n">
        <x:f>IF(H12=0,"",I12/H12)</x:f>
        <x:v>0.18138055923358518</x:v>
      </x:c>
      <x:c r="AE12" s="22" t="n">
        <x:f>IF(O12=0,"",H12/O12)</x:f>
        <x:v>128.39</x:v>
      </x:c>
    </x:row>
  </x:sheetData>
  <x:mergeCells>
    <x:mergeCell ref="A1:H1"/>
    <x:mergeCell ref="A2:H2"/>
  </x:mergeCells>
  <x:conditionalFormatting sqref="Z5:Z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D5:AD1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1" t="str">
        <x:v>Mobile Game Marketing Performance</x:v>
      </x:c>
    </x:row>
    <x:row r="2">
      <x:c r="A2" s="2" t="str">
        <x:v>August 2025 | Creative delivery and downstream quality</x:v>
      </x:c>
    </x:row>
    <x:row r="4">
      <x:c r="A4" s="19" t="str">
        <x:v>Creative</x:v>
      </x:c>
      <x:c r="B4" s="19" t="str">
        <x:v>Campaign</x:v>
      </x:c>
      <x:c r="C4" s="19" t="str">
        <x:v>Source</x:v>
      </x:c>
      <x:c r="D4" s="19" t="str">
        <x:v>Impressions</x:v>
      </x:c>
      <x:c r="E4" s="19" t="str">
        <x:v>Clicks</x:v>
      </x:c>
      <x:c r="F4" s="19" t="str">
        <x:v>Players</x:v>
      </x:c>
      <x:c r="G4" s="19" t="str">
        <x:v>Spend</x:v>
      </x:c>
      <x:c r="H4" s="19" t="str">
        <x:v>Revenue</x:v>
      </x:c>
      <x:c r="I4" s="19" t="str">
        <x:v>D7 eligible</x:v>
      </x:c>
      <x:c r="J4" s="19" t="str">
        <x:v>D7 returned</x:v>
      </x:c>
      <x:c r="K4" s="19" t="str">
        <x:v>Sessions</x:v>
      </x:c>
      <x:c r="L4" s="19" t="str">
        <x:v>Levels</x:v>
      </x:c>
      <x:c r="M4" s="19" t="str">
        <x:v>CPI</x:v>
      </x:c>
      <x:c r="N4" s="19" t="str">
        <x:v>CTR</x:v>
      </x:c>
      <x:c r="O4" s="19" t="str">
        <x:v>D7 retention</x:v>
      </x:c>
      <x:c r="P4" s="19" t="str">
        <x:v>Sessions/player</x:v>
      </x:c>
      <x:c r="Q4" s="19" t="str">
        <x:v>Levels/player</x:v>
      </x:c>
      <x:c r="R4" s="19" t="str">
        <x:v>ROAS</x:v>
      </x:c>
    </x:row>
    <x:row r="5">
      <x:c r="A5" t="str">
        <x:v>Playable Puzzle D</x:v>
      </x:c>
      <x:c r="B5" t="str">
        <x:v>Playable Premium</x:v>
      </x:c>
      <x:c r="C5" t="str">
        <x:v>Game Network</x:v>
      </x:c>
      <x:c r="D5" t="n">
        <x:v>7005</x:v>
      </x:c>
      <x:c r="E5" t="n">
        <x:v>557</x:v>
      </x:c>
      <x:c r="F5" t="n">
        <x:v>94</x:v>
      </x:c>
      <x:c r="G5" s="21" t="n">
        <x:v>208.06</x:v>
      </x:c>
      <x:c r="H5" s="21" t="n">
        <x:v>66.7677</x:v>
      </x:c>
      <x:c r="I5" t="n">
        <x:v>75</x:v>
      </x:c>
      <x:c r="J5" t="n">
        <x:v>12</x:v>
      </x:c>
      <x:c r="K5" t="n">
        <x:v>462</x:v>
      </x:c>
      <x:c r="L5" t="n">
        <x:v>2375</x:v>
      </x:c>
      <x:c r="M5" s="22" t="n">
        <x:f>IF(F5=0,"",G5/F5)</x:f>
        <x:v>2.213404255319149</x:v>
      </x:c>
      <x:c r="N5" s="20" t="n">
        <x:f>IF(D5=0,"",E5/D5)</x:f>
        <x:v>0.0795146324054247</x:v>
      </x:c>
      <x:c r="O5" s="20" t="n">
        <x:f>IF(I5=0,"",J5/I5)</x:f>
        <x:v>0.16</x:v>
      </x:c>
      <x:c r="P5" s="23" t="n">
        <x:f>IF(F5=0,"",K5/F5)</x:f>
        <x:v>4.914893617021277</x:v>
      </x:c>
      <x:c r="Q5" s="23" t="n">
        <x:f>IF(F5=0,"",L5/F5)</x:f>
        <x:v>25.26595744680851</x:v>
      </x:c>
      <x:c r="R5" s="20" t="n">
        <x:f>IF(G5=0,"",H5/G5)</x:f>
        <x:v>0.32090598865711817</x:v>
      </x:c>
    </x:row>
    <x:row r="6">
      <x:c r="A6" t="str">
        <x:v>Reward Story D</x:v>
      </x:c>
      <x:c r="B6" t="str">
        <x:v>Playable Premium</x:v>
      </x:c>
      <x:c r="C6" t="str">
        <x:v>Game Network</x:v>
      </x:c>
      <x:c r="D6" t="n">
        <x:v>6543</x:v>
      </x:c>
      <x:c r="E6" t="n">
        <x:v>539</x:v>
      </x:c>
      <x:c r="F6" t="n">
        <x:v>88</x:v>
      </x:c>
      <x:c r="G6" s="21" t="n">
        <x:v>197.39</x:v>
      </x:c>
      <x:c r="H6" s="21" t="n">
        <x:v>44.0191</x:v>
      </x:c>
      <x:c r="I6" t="n">
        <x:v>65</x:v>
      </x:c>
      <x:c r="J6" t="n">
        <x:v>6</x:v>
      </x:c>
      <x:c r="K6" t="n">
        <x:v>445</x:v>
      </x:c>
      <x:c r="L6" t="n">
        <x:v>2222</x:v>
      </x:c>
      <x:c r="M6" s="22" t="n">
        <x:f>IF(F6=0,"",G6/F6)</x:f>
        <x:v>2.2430681818181815</x:v>
      </x:c>
      <x:c r="N6" s="20" t="n">
        <x:f>IF(D6=0,"",E6/D6)</x:f>
        <x:v>0.08237811401497784</x:v>
      </x:c>
      <x:c r="O6" s="20" t="n">
        <x:f>IF(I6=0,"",J6/I6)</x:f>
        <x:v>0.09230769230769231</x:v>
      </x:c>
      <x:c r="P6" s="23" t="n">
        <x:f>IF(F6=0,"",K6/F6)</x:f>
        <x:v>5.056818181818182</x:v>
      </x:c>
      <x:c r="Q6" s="23" t="n">
        <x:f>IF(F6=0,"",L6/F6)</x:f>
        <x:v>25.25</x:v>
      </x:c>
      <x:c r="R6" s="20" t="n">
        <x:f>IF(G6=0,"",H6/G6)</x:f>
        <x:v>0.22300572470743202</x:v>
      </x:c>
    </x:row>
    <x:row r="7">
      <x:c r="A7" t="str">
        <x:v>Progress Video E</x:v>
      </x:c>
      <x:c r="B7" t="str">
        <x:v>Social Gameplay</x:v>
      </x:c>
      <x:c r="C7" t="str">
        <x:v>Social Network</x:v>
      </x:c>
      <x:c r="D7" t="n">
        <x:v>7259</x:v>
      </x:c>
      <x:c r="E7" t="n">
        <x:v>577</x:v>
      </x:c>
      <x:c r="F7" t="n">
        <x:v>105</x:v>
      </x:c>
      <x:c r="G7" s="21" t="n">
        <x:v>192.46</x:v>
      </x:c>
      <x:c r="H7" s="21" t="n">
        <x:v>58.3979</x:v>
      </x:c>
      <x:c r="I7" t="n">
        <x:v>78</x:v>
      </x:c>
      <x:c r="J7" t="n">
        <x:v>6</x:v>
      </x:c>
      <x:c r="K7" t="n">
        <x:v>376</x:v>
      </x:c>
      <x:c r="L7" t="n">
        <x:v>1556</x:v>
      </x:c>
      <x:c r="M7" s="22" t="n">
        <x:f>IF(F7=0,"",G7/F7)</x:f>
        <x:v>1.832952380952381</x:v>
      </x:c>
      <x:c r="N7" s="20" t="n">
        <x:f>IF(D7=0,"",E7/D7)</x:f>
        <x:v>0.07948753271800524</x:v>
      </x:c>
      <x:c r="O7" s="20" t="n">
        <x:f>IF(I7=0,"",J7/I7)</x:f>
        <x:v>0.07692307692307693</x:v>
      </x:c>
      <x:c r="P7" s="23" t="n">
        <x:f>IF(F7=0,"",K7/F7)</x:f>
        <x:v>3.580952380952381</x:v>
      </x:c>
      <x:c r="Q7" s="23" t="n">
        <x:f>IF(F7=0,"",L7/F7)</x:f>
        <x:v>14.81904761904762</x:v>
      </x:c>
      <x:c r="R7" s="20" t="n">
        <x:f>IF(G7=0,"",H7/G7)</x:f>
        <x:v>0.30342876441858047</x:v>
      </x:c>
    </x:row>
    <x:row r="8">
      <x:c r="A8" t="str">
        <x:v>Playable Puzzle H</x:v>
      </x:c>
      <x:c r="B8" t="str">
        <x:v>Store Intent</x:v>
      </x:c>
      <x:c r="C8" t="str">
        <x:v>Store Search</x:v>
      </x:c>
      <x:c r="D8" t="n">
        <x:v>5364</x:v>
      </x:c>
      <x:c r="E8" t="n">
        <x:v>412</x:v>
      </x:c>
      <x:c r="F8" t="n">
        <x:v>71</x:v>
      </x:c>
      <x:c r="G8" s="21" t="n">
        <x:v>185.97</x:v>
      </x:c>
      <x:c r="H8" s="21" t="n">
        <x:v>51.6199</x:v>
      </x:c>
      <x:c r="I8" t="n">
        <x:v>54</x:v>
      </x:c>
      <x:c r="J8" t="n">
        <x:v>6</x:v>
      </x:c>
      <x:c r="K8" t="n">
        <x:v>379</x:v>
      </x:c>
      <x:c r="L8" t="n">
        <x:v>2055</x:v>
      </x:c>
      <x:c r="M8" s="22" t="n">
        <x:f>IF(F8=0,"",G8/F8)</x:f>
        <x:v>2.6192957746478873</x:v>
      </x:c>
      <x:c r="N8" s="20" t="n">
        <x:f>IF(D8=0,"",E8/D8)</x:f>
        <x:v>0.07680835197613721</x:v>
      </x:c>
      <x:c r="O8" s="20" t="n">
        <x:f>IF(I8=0,"",J8/I8)</x:f>
        <x:v>0.1111111111111111</x:v>
      </x:c>
      <x:c r="P8" s="23" t="n">
        <x:f>IF(F8=0,"",K8/F8)</x:f>
        <x:v>5.338028169014085</x:v>
      </x:c>
      <x:c r="Q8" s="23" t="n">
        <x:f>IF(F8=0,"",L8/F8)</x:f>
        <x:v>28.943661971830984</x:v>
      </x:c>
      <x:c r="R8" s="20" t="n">
        <x:f>IF(G8=0,"",H8/G8)</x:f>
        <x:v>0.27757111362047643</x:v>
      </x:c>
    </x:row>
    <x:row r="9">
      <x:c r="A9" t="str">
        <x:v>Playable Puzzle E</x:v>
      </x:c>
      <x:c r="B9" t="str">
        <x:v>Social Gameplay</x:v>
      </x:c>
      <x:c r="C9" t="str">
        <x:v>Social Network</x:v>
      </x:c>
      <x:c r="D9" t="n">
        <x:v>7774</x:v>
      </x:c>
      <x:c r="E9" t="n">
        <x:v>546</x:v>
      </x:c>
      <x:c r="F9" t="n">
        <x:v>100</x:v>
      </x:c>
      <x:c r="G9" s="21" t="n">
        <x:v>177.93</x:v>
      </x:c>
      <x:c r="H9" s="21" t="n">
        <x:v>33.2239</x:v>
      </x:c>
      <x:c r="I9" t="n">
        <x:v>79</x:v>
      </x:c>
      <x:c r="J9" t="n">
        <x:v>6</x:v>
      </x:c>
      <x:c r="K9" t="n">
        <x:v>347</x:v>
      </x:c>
      <x:c r="L9" t="n">
        <x:v>1508</x:v>
      </x:c>
      <x:c r="M9" s="22" t="n">
        <x:f>IF(F9=0,"",G9/F9)</x:f>
        <x:v>1.7793</x:v>
      </x:c>
      <x:c r="N9" s="20" t="n">
        <x:f>IF(D9=0,"",E9/D9)</x:f>
        <x:v>0.07023411371237458</x:v>
      </x:c>
      <x:c r="O9" s="20" t="n">
        <x:f>IF(I9=0,"",J9/I9)</x:f>
        <x:v>0.0759493670886076</x:v>
      </x:c>
      <x:c r="P9" s="23" t="n">
        <x:f>IF(F9=0,"",K9/F9)</x:f>
        <x:v>3.47</x:v>
      </x:c>
      <x:c r="Q9" s="23" t="n">
        <x:f>IF(F9=0,"",L9/F9)</x:f>
        <x:v>15.08</x:v>
      </x:c>
      <x:c r="R9" s="20" t="n">
        <x:f>IF(G9=0,"",H9/G9)</x:f>
        <x:v>0.18672455460012363</x:v>
      </x:c>
    </x:row>
    <x:row r="10">
      <x:c r="A10" t="str">
        <x:v>Progress Video D</x:v>
      </x:c>
      <x:c r="B10" t="str">
        <x:v>Playable Premium</x:v>
      </x:c>
      <x:c r="C10" t="str">
        <x:v>Game Network</x:v>
      </x:c>
      <x:c r="D10" t="n">
        <x:v>5809</x:v>
      </x:c>
      <x:c r="E10" t="n">
        <x:v>483</x:v>
      </x:c>
      <x:c r="F10" t="n">
        <x:v>79</x:v>
      </x:c>
      <x:c r="G10" s="21" t="n">
        <x:v>174.81</x:v>
      </x:c>
      <x:c r="H10" s="21" t="n">
        <x:v>104.71950000000001</x:v>
      </x:c>
      <x:c r="I10" t="n">
        <x:v>57</x:v>
      </x:c>
      <x:c r="J10" t="n">
        <x:v>7</x:v>
      </x:c>
      <x:c r="K10" t="n">
        <x:v>388</x:v>
      </x:c>
      <x:c r="L10" t="n">
        <x:v>1964</x:v>
      </x:c>
      <x:c r="M10" s="22" t="n">
        <x:f>IF(F10=0,"",G10/F10)</x:f>
        <x:v>2.2127848101265823</x:v>
      </x:c>
      <x:c r="N10" s="20" t="n">
        <x:f>IF(D10=0,"",E10/D10)</x:f>
        <x:v>0.08314684110862455</x:v>
      </x:c>
      <x:c r="O10" s="20" t="n">
        <x:f>IF(I10=0,"",J10/I10)</x:f>
        <x:v>0.12280701754385964</x:v>
      </x:c>
      <x:c r="P10" s="23" t="n">
        <x:f>IF(F10=0,"",K10/F10)</x:f>
        <x:v>4.9113924050632916</x:v>
      </x:c>
      <x:c r="Q10" s="23" t="n">
        <x:f>IF(F10=0,"",L10/F10)</x:f>
        <x:v>24.860759493670887</x:v>
      </x:c>
      <x:c r="R10" s="20" t="n">
        <x:f>IF(G10=0,"",H10/G10)</x:f>
        <x:v>0.5990475373262399</x:v>
      </x:c>
    </x:row>
    <x:row r="11">
      <x:c r="A11" t="str">
        <x:v>Reward Story H</x:v>
      </x:c>
      <x:c r="B11" t="str">
        <x:v>Store Intent</x:v>
      </x:c>
      <x:c r="C11" t="str">
        <x:v>Store Search</x:v>
      </x:c>
      <x:c r="D11" t="n">
        <x:v>4665</x:v>
      </x:c>
      <x:c r="E11" t="n">
        <x:v>394</x:v>
      </x:c>
      <x:c r="F11" t="n">
        <x:v>65</x:v>
      </x:c>
      <x:c r="G11" s="21" t="n">
        <x:v>166.38</x:v>
      </x:c>
      <x:c r="H11" s="21" t="n">
        <x:v>65.5801</x:v>
      </x:c>
      <x:c r="I11" t="n">
        <x:v>52</x:v>
      </x:c>
      <x:c r="J11" t="n">
        <x:v>7</x:v>
      </x:c>
      <x:c r="K11" t="n">
        <x:v>328</x:v>
      </x:c>
      <x:c r="L11" t="n">
        <x:v>1771</x:v>
      </x:c>
      <x:c r="M11" s="22" t="n">
        <x:f>IF(F11=0,"",G11/F11)</x:f>
        <x:v>2.5596923076923077</x:v>
      </x:c>
      <x:c r="N11" s="20" t="n">
        <x:f>IF(D11=0,"",E11/D11)</x:f>
        <x:v>0.08445873526259379</x:v>
      </x:c>
      <x:c r="O11" s="20" t="n">
        <x:f>IF(I11=0,"",J11/I11)</x:f>
        <x:v>0.1346153846153846</x:v>
      </x:c>
      <x:c r="P11" s="23" t="n">
        <x:f>IF(F11=0,"",K11/F11)</x:f>
        <x:v>5.046153846153846</x:v>
      </x:c>
      <x:c r="Q11" s="23" t="n">
        <x:f>IF(F11=0,"",L11/F11)</x:f>
        <x:v>27.246153846153845</x:v>
      </x:c>
      <x:c r="R11" s="20" t="n">
        <x:f>IF(G11=0,"",H11/G11)</x:f>
        <x:v>0.39415855271066236</x:v>
      </x:c>
    </x:row>
    <x:row r="12">
      <x:c r="A12" t="str">
        <x:v>Progress Video H</x:v>
      </x:c>
      <x:c r="B12" t="str">
        <x:v>Store Intent</x:v>
      </x:c>
      <x:c r="C12" t="str">
        <x:v>Store Search</x:v>
      </x:c>
      <x:c r="D12" t="n">
        <x:v>4337</x:v>
      </x:c>
      <x:c r="E12" t="n">
        <x:v>337</x:v>
      </x:c>
      <x:c r="F12" t="n">
        <x:v>61</x:v>
      </x:c>
      <x:c r="G12" s="21" t="n">
        <x:v>151.71</x:v>
      </x:c>
      <x:c r="H12" s="21" t="n">
        <x:v>36.0787</x:v>
      </x:c>
      <x:c r="I12" t="n">
        <x:v>44</x:v>
      </x:c>
      <x:c r="J12" t="n">
        <x:v>7</x:v>
      </x:c>
      <x:c r="K12" t="n">
        <x:v>312</x:v>
      </x:c>
      <x:c r="L12" t="n">
        <x:v>1591</x:v>
      </x:c>
      <x:c r="M12" s="22" t="n">
        <x:f>IF(F12=0,"",G12/F12)</x:f>
        <x:v>2.487049180327869</x:v>
      </x:c>
      <x:c r="N12" s="20" t="n">
        <x:f>IF(D12=0,"",E12/D12)</x:f>
        <x:v>0.0777034816693567</x:v>
      </x:c>
      <x:c r="O12" s="20" t="n">
        <x:f>IF(I12=0,"",J12/I12)</x:f>
        <x:v>0.1590909090909091</x:v>
      </x:c>
      <x:c r="P12" s="23" t="n">
        <x:f>IF(F12=0,"",K12/F12)</x:f>
        <x:v>5.114754098360656</x:v>
      </x:c>
      <x:c r="Q12" s="23" t="n">
        <x:f>IF(F12=0,"",L12/F12)</x:f>
        <x:v>26.081967213114755</x:v>
      </x:c>
      <x:c r="R12" s="20" t="n">
        <x:f>IF(G12=0,"",H12/G12)</x:f>
        <x:v>0.2378135917210467</x:v>
      </x:c>
    </x:row>
    <x:row r="13">
      <x:c r="A13" t="str">
        <x:v>Playable Puzzle C</x:v>
      </x:c>
      <x:c r="B13" t="str">
        <x:v>Playable Broad</x:v>
      </x:c>
      <x:c r="C13" t="str">
        <x:v>Game Network</x:v>
      </x:c>
      <x:c r="D13" t="n">
        <x:v>7966</x:v>
      </x:c>
      <x:c r="E13" t="n">
        <x:v>624</x:v>
      </x:c>
      <x:c r="F13" t="n">
        <x:v>102</x:v>
      </x:c>
      <x:c r="G13" s="21" t="n">
        <x:v>144.78</x:v>
      </x:c>
      <x:c r="H13" s="21" t="n">
        <x:v>65.3756</x:v>
      </x:c>
      <x:c r="I13" t="n">
        <x:v>84</x:v>
      </x:c>
      <x:c r="J13" t="n">
        <x:v>8</x:v>
      </x:c>
      <x:c r="K13" t="n">
        <x:v>449</x:v>
      </x:c>
      <x:c r="L13" t="n">
        <x:v>2284</x:v>
      </x:c>
      <x:c r="M13" s="22" t="n">
        <x:f>IF(F13=0,"",G13/F13)</x:f>
        <x:v>1.4194117647058824</x:v>
      </x:c>
      <x:c r="N13" s="20" t="n">
        <x:f>IF(D13=0,"",E13/D13)</x:f>
        <x:v>0.07833291488827517</x:v>
      </x:c>
      <x:c r="O13" s="20" t="n">
        <x:f>IF(I13=0,"",J13/I13)</x:f>
        <x:v>0.09523809523809523</x:v>
      </x:c>
      <x:c r="P13" s="23" t="n">
        <x:f>IF(F13=0,"",K13/F13)</x:f>
        <x:v>4.401960784313726</x:v>
      </x:c>
      <x:c r="Q13" s="23" t="n">
        <x:f>IF(F13=0,"",L13/F13)</x:f>
        <x:v>22.392156862745097</x:v>
      </x:c>
      <x:c r="R13" s="20" t="n">
        <x:f>IF(G13=0,"",H13/G13)</x:f>
        <x:v>0.4515513192429894</x:v>
      </x:c>
    </x:row>
    <x:row r="14">
      <x:c r="A14" t="str">
        <x:v>Progress Video C</x:v>
      </x:c>
      <x:c r="B14" t="str">
        <x:v>Playable Broad</x:v>
      </x:c>
      <x:c r="C14" t="str">
        <x:v>Game Network</x:v>
      </x:c>
      <x:c r="D14" t="n">
        <x:v>7413</x:v>
      </x:c>
      <x:c r="E14" t="n">
        <x:v>588</x:v>
      </x:c>
      <x:c r="F14" t="n">
        <x:v>101</x:v>
      </x:c>
      <x:c r="G14" s="21" t="n">
        <x:v>141.56</x:v>
      </x:c>
      <x:c r="H14" s="21" t="n">
        <x:v>38.28060000000001</x:v>
      </x:c>
      <x:c r="I14" t="n">
        <x:v>82</x:v>
      </x:c>
      <x:c r="J14" t="n">
        <x:v>7</x:v>
      </x:c>
      <x:c r="K14" t="n">
        <x:v>468</x:v>
      </x:c>
      <x:c r="L14" t="n">
        <x:v>2151</x:v>
      </x:c>
      <x:c r="M14" s="22" t="n">
        <x:f>IF(F14=0,"",G14/F14)</x:f>
        <x:v>1.4015841584158415</x:v>
      </x:c>
      <x:c r="N14" s="20" t="n">
        <x:f>IF(D14=0,"",E14/D14)</x:f>
        <x:v>0.07932011331444759</x:v>
      </x:c>
      <x:c r="O14" s="20" t="n">
        <x:f>IF(I14=0,"",J14/I14)</x:f>
        <x:v>0.08536585365853659</x:v>
      </x:c>
      <x:c r="P14" s="23" t="n">
        <x:f>IF(F14=0,"",K14/F14)</x:f>
        <x:v>4.633663366336633</x:v>
      </x:c>
      <x:c r="Q14" s="23" t="n">
        <x:f>IF(F14=0,"",L14/F14)</x:f>
        <x:v>21.297029702970296</x:v>
      </x:c>
      <x:c r="R14" s="20" t="n">
        <x:f>IF(G14=0,"",H14/G14)</x:f>
        <x:v>0.27041961005933884</x:v>
      </x:c>
    </x:row>
    <x:row r="15">
      <x:c r="A15" t="str">
        <x:v>Reward Story C</x:v>
      </x:c>
      <x:c r="B15" t="str">
        <x:v>Playable Broad</x:v>
      </x:c>
      <x:c r="C15" t="str">
        <x:v>Game Network</x:v>
      </x:c>
      <x:c r="D15" t="n">
        <x:v>7611</x:v>
      </x:c>
      <x:c r="E15" t="n">
        <x:v>558</x:v>
      </x:c>
      <x:c r="F15" t="n">
        <x:v>92</x:v>
      </x:c>
      <x:c r="G15" s="21" t="n">
        <x:v>134.92</x:v>
      </x:c>
      <x:c r="H15" s="21" t="n">
        <x:v>43.2616</x:v>
      </x:c>
      <x:c r="I15" t="n">
        <x:v>64</x:v>
      </x:c>
      <x:c r="J15" t="n">
        <x:v>6</x:v>
      </x:c>
      <x:c r="K15" t="n">
        <x:v>420</x:v>
      </x:c>
      <x:c r="L15" t="n">
        <x:v>2001</x:v>
      </x:c>
      <x:c r="M15" s="22" t="n">
        <x:f>IF(F15=0,"",G15/F15)</x:f>
        <x:v>1.4665217391304346</x:v>
      </x:c>
      <x:c r="N15" s="20" t="n">
        <x:f>IF(D15=0,"",E15/D15)</x:f>
        <x:v>0.07331493890421759</x:v>
      </x:c>
      <x:c r="O15" s="20" t="n">
        <x:f>IF(I15=0,"",J15/I15)</x:f>
        <x:v>0.09375</x:v>
      </x:c>
      <x:c r="P15" s="23" t="n">
        <x:f>IF(F15=0,"",K15/F15)</x:f>
        <x:v>4.565217391304348</x:v>
      </x:c>
      <x:c r="Q15" s="23" t="n">
        <x:f>IF(F15=0,"",L15/F15)</x:f>
        <x:v>21.75</x:v>
      </x:c>
      <x:c r="R15" s="20" t="n">
        <x:f>IF(G15=0,"",H15/G15)</x:f>
        <x:v>0.32064630892380674</x:v>
      </x:c>
    </x:row>
    <x:row r="16">
      <x:c r="A16" t="str">
        <x:v>Reward Story E</x:v>
      </x:c>
      <x:c r="B16" t="str">
        <x:v>Social Gameplay</x:v>
      </x:c>
      <x:c r="C16" t="str">
        <x:v>Social Network</x:v>
      </x:c>
      <x:c r="D16" t="n">
        <x:v>4944</x:v>
      </x:c>
      <x:c r="E16" t="n">
        <x:v>426</x:v>
      </x:c>
      <x:c r="F16" t="n">
        <x:v>74</x:v>
      </x:c>
      <x:c r="G16" s="21" t="n">
        <x:v>132.06</x:v>
      </x:c>
      <x:c r="H16" s="21" t="n">
        <x:v>21.68</x:v>
      </x:c>
      <x:c r="I16" t="n">
        <x:v>58</x:v>
      </x:c>
      <x:c r="J16" t="n">
        <x:v>6</x:v>
      </x:c>
      <x:c r="K16" t="n">
        <x:v>264</x:v>
      </x:c>
      <x:c r="L16" t="n">
        <x:v>1132</x:v>
      </x:c>
      <x:c r="M16" s="22" t="n">
        <x:f>IF(F16=0,"",G16/F16)</x:f>
        <x:v>1.7845945945945947</x:v>
      </x:c>
      <x:c r="N16" s="20" t="n">
        <x:f>IF(D16=0,"",E16/D16)</x:f>
        <x:v>0.08616504854368932</x:v>
      </x:c>
      <x:c r="O16" s="20" t="n">
        <x:f>IF(I16=0,"",J16/I16)</x:f>
        <x:v>0.10344827586206896</x:v>
      </x:c>
      <x:c r="P16" s="23" t="n">
        <x:f>IF(F16=0,"",K16/F16)</x:f>
        <x:v>3.5675675675675675</x:v>
      </x:c>
      <x:c r="Q16" s="23" t="n">
        <x:f>IF(F16=0,"",L16/F16)</x:f>
        <x:v>15.297297297297296</x:v>
      </x:c>
      <x:c r="R16" s="20" t="n">
        <x:f>IF(G16=0,"",H16/G16)</x:f>
        <x:v>0.16416780251400878</x:v>
      </x:c>
    </x:row>
    <x:row r="17">
      <x:c r="A17" t="str">
        <x:v>Playable Puzzle F</x:v>
      </x:c>
      <x:c r="B17" t="str">
        <x:v>Social Lifestyle</x:v>
      </x:c>
      <x:c r="C17" t="str">
        <x:v>Social Network</x:v>
      </x:c>
      <x:c r="D17" t="n">
        <x:v>2800</x:v>
      </x:c>
      <x:c r="E17" t="n">
        <x:v>202</x:v>
      </x:c>
      <x:c r="F17" t="n">
        <x:v>36</x:v>
      </x:c>
      <x:c r="G17" s="21" t="n">
        <x:v>89.08</x:v>
      </x:c>
      <x:c r="H17" s="21" t="n">
        <x:v>3.9091000000000005</x:v>
      </x:c>
      <x:c r="I17" t="n">
        <x:v>36</x:v>
      </x:c>
      <x:c r="J17" t="n">
        <x:v>5</x:v>
      </x:c>
      <x:c r="K17" t="n">
        <x:v>98</x:v>
      </x:c>
      <x:c r="L17" t="n">
        <x:v>365</x:v>
      </x:c>
      <x:c r="M17" s="22" t="n">
        <x:f>IF(F17=0,"",G17/F17)</x:f>
        <x:v>2.4744444444444444</x:v>
      </x:c>
      <x:c r="N17" s="20" t="n">
        <x:f>IF(D17=0,"",E17/D17)</x:f>
        <x:v>0.07214285714285715</x:v>
      </x:c>
      <x:c r="O17" s="20" t="n">
        <x:f>IF(I17=0,"",J17/I17)</x:f>
        <x:v>0.1388888888888889</x:v>
      </x:c>
      <x:c r="P17" s="23" t="n">
        <x:f>IF(F17=0,"",K17/F17)</x:f>
        <x:v>2.7222222222222223</x:v>
      </x:c>
      <x:c r="Q17" s="23" t="n">
        <x:f>IF(F17=0,"",L17/F17)</x:f>
        <x:v>10.13888888888889</x:v>
      </x:c>
      <x:c r="R17" s="20" t="n">
        <x:f>IF(G17=0,"",H17/G17)</x:f>
        <x:v>0.04388302649303997</x:v>
      </x:c>
    </x:row>
    <x:row r="18">
      <x:c r="A18" t="str">
        <x:v>Progress Video B</x:v>
      </x:c>
      <x:c r="B18" t="str">
        <x:v>Search Value North</x:v>
      </x:c>
      <x:c r="C18" t="str">
        <x:v>Search Network</x:v>
      </x:c>
      <x:c r="D18" t="n">
        <x:v>3850</x:v>
      </x:c>
      <x:c r="E18" t="n">
        <x:v>318</x:v>
      </x:c>
      <x:c r="F18" t="n">
        <x:v>51</x:v>
      </x:c>
      <x:c r="G18" s="21" t="n">
        <x:v>85.51</x:v>
      </x:c>
      <x:c r="H18" s="21" t="n">
        <x:v>10.576699999999999</x:v>
      </x:c>
      <x:c r="I18" t="n">
        <x:v>40</x:v>
      </x:c>
      <x:c r="J18" t="n">
        <x:v>1</x:v>
      </x:c>
      <x:c r="K18" t="n">
        <x:v>159</x:v>
      </x:c>
      <x:c r="L18" t="n">
        <x:v>681</x:v>
      </x:c>
      <x:c r="M18" s="22" t="n">
        <x:f>IF(F18=0,"",G18/F18)</x:f>
        <x:v>1.6766666666666667</x:v>
      </x:c>
      <x:c r="N18" s="20" t="n">
        <x:f>IF(D18=0,"",E18/D18)</x:f>
        <x:v>0.0825974025974026</x:v>
      </x:c>
      <x:c r="O18" s="20" t="n">
        <x:f>IF(I18=0,"",J18/I18)</x:f>
        <x:v>0.025</x:v>
      </x:c>
      <x:c r="P18" s="23" t="n">
        <x:f>IF(F18=0,"",K18/F18)</x:f>
        <x:v>3.1176470588235294</x:v>
      </x:c>
      <x:c r="Q18" s="23" t="n">
        <x:f>IF(F18=0,"",L18/F18)</x:f>
        <x:v>13.352941176470589</x:v>
      </x:c>
      <x:c r="R18" s="20" t="n">
        <x:f>IF(G18=0,"",H18/G18)</x:f>
        <x:v>0.12368962694421703</x:v>
      </x:c>
    </x:row>
    <x:row r="19">
      <x:c r="A19" t="str">
        <x:v>Reward Story B</x:v>
      </x:c>
      <x:c r="B19" t="str">
        <x:v>Search Value North</x:v>
      </x:c>
      <x:c r="C19" t="str">
        <x:v>Search Network</x:v>
      </x:c>
      <x:c r="D19" t="n">
        <x:v>3664</x:v>
      </x:c>
      <x:c r="E19" t="n">
        <x:v>312</x:v>
      </x:c>
      <x:c r="F19" t="n">
        <x:v>50</x:v>
      </x:c>
      <x:c r="G19" s="21" t="n">
        <x:v>84.85</x:v>
      </x:c>
      <x:c r="H19" s="21" t="n">
        <x:v>29.0718</x:v>
      </x:c>
      <x:c r="I19" t="n">
        <x:v>41</x:v>
      </x:c>
      <x:c r="J19" t="n">
        <x:v>3</x:v>
      </x:c>
      <x:c r="K19" t="n">
        <x:v>183</x:v>
      </x:c>
      <x:c r="L19" t="n">
        <x:v>820</x:v>
      </x:c>
      <x:c r="M19" s="22" t="n">
        <x:f>IF(F19=0,"",G19/F19)</x:f>
        <x:v>1.6969999999999998</x:v>
      </x:c>
      <x:c r="N19" s="20" t="n">
        <x:f>IF(D19=0,"",E19/D19)</x:f>
        <x:v>0.0851528384279476</x:v>
      </x:c>
      <x:c r="O19" s="20" t="n">
        <x:f>IF(I19=0,"",J19/I19)</x:f>
        <x:v>0.07317073170731707</x:v>
      </x:c>
      <x:c r="P19" s="23" t="n">
        <x:f>IF(F19=0,"",K19/F19)</x:f>
        <x:v>3.66</x:v>
      </x:c>
      <x:c r="Q19" s="23" t="n">
        <x:f>IF(F19=0,"",L19/F19)</x:f>
        <x:v>16.4</x:v>
      </x:c>
      <x:c r="R19" s="20" t="n">
        <x:f>IF(G19=0,"",H19/G19)</x:f>
        <x:v>0.34262581025338834</x:v>
      </x:c>
    </x:row>
    <x:row r="20">
      <x:c r="A20" t="str">
        <x:v>Progress Video F</x:v>
      </x:c>
      <x:c r="B20" t="str">
        <x:v>Social Lifestyle</x:v>
      </x:c>
      <x:c r="C20" t="str">
        <x:v>Social Network</x:v>
      </x:c>
      <x:c r="D20" t="n">
        <x:v>2384</x:v>
      </x:c>
      <x:c r="E20" t="n">
        <x:v>159</x:v>
      </x:c>
      <x:c r="F20" t="n">
        <x:v>31</x:v>
      </x:c>
      <x:c r="G20" s="21" t="n">
        <x:v>73.06</x:v>
      </x:c>
      <x:c r="H20" s="21" t="n">
        <x:v>2.4722</x:v>
      </x:c>
      <x:c r="I20" t="n">
        <x:v>31</x:v>
      </x:c>
      <x:c r="J20" t="n">
        <x:v>1</x:v>
      </x:c>
      <x:c r="K20" t="n">
        <x:v>77</x:v>
      </x:c>
      <x:c r="L20" t="n">
        <x:v>313</x:v>
      </x:c>
      <x:c r="M20" s="22" t="n">
        <x:f>IF(F20=0,"",G20/F20)</x:f>
        <x:v>2.3567741935483872</x:v>
      </x:c>
      <x:c r="N20" s="20" t="n">
        <x:f>IF(D20=0,"",E20/D20)</x:f>
        <x:v>0.06669463087248322</x:v>
      </x:c>
      <x:c r="O20" s="20" t="n">
        <x:f>IF(I20=0,"",J20/I20)</x:f>
        <x:v>0.03225806451612903</x:v>
      </x:c>
      <x:c r="P20" s="23" t="n">
        <x:f>IF(F20=0,"",K20/F20)</x:f>
        <x:v>2.4838709677419355</x:v>
      </x:c>
      <x:c r="Q20" s="23" t="n">
        <x:f>IF(F20=0,"",L20/F20)</x:f>
        <x:v>10.096774193548388</x:v>
      </x:c>
      <x:c r="R20" s="20" t="n">
        <x:f>IF(G20=0,"",H20/G20)</x:f>
        <x:v>0.03383794141801259</x:v>
      </x:c>
    </x:row>
    <x:row r="21">
      <x:c r="A21" t="str">
        <x:v>Playable Puzzle B</x:v>
      </x:c>
      <x:c r="B21" t="str">
        <x:v>Search Value North</x:v>
      </x:c>
      <x:c r="C21" t="str">
        <x:v>Search Network</x:v>
      </x:c>
      <x:c r="D21" t="n">
        <x:v>3526</x:v>
      </x:c>
      <x:c r="E21" t="n">
        <x:v>261</x:v>
      </x:c>
      <x:c r="F21" t="n">
        <x:v>41</x:v>
      </x:c>
      <x:c r="G21" s="21" t="n">
        <x:v>69.57000000000001</x:v>
      </x:c>
      <x:c r="H21" s="21" t="n">
        <x:v>19.800800000000002</x:v>
      </x:c>
      <x:c r="I21" t="n">
        <x:v>36</x:v>
      </x:c>
      <x:c r="J21" t="n">
        <x:v>2</x:v>
      </x:c>
      <x:c r="K21" t="n">
        <x:v>152</x:v>
      </x:c>
      <x:c r="L21" t="n">
        <x:v>678</x:v>
      </x:c>
      <x:c r="M21" s="22" t="n">
        <x:f>IF(F21=0,"",G21/F21)</x:f>
        <x:v>1.696829268292683</x:v>
      </x:c>
      <x:c r="N21" s="20" t="n">
        <x:f>IF(D21=0,"",E21/D21)</x:f>
        <x:v>0.07402155416903006</x:v>
      </x:c>
      <x:c r="O21" s="20" t="n">
        <x:f>IF(I21=0,"",J21/I21)</x:f>
        <x:v>0.05555555555555555</x:v>
      </x:c>
      <x:c r="P21" s="23" t="n">
        <x:f>IF(F21=0,"",K21/F21)</x:f>
        <x:v>3.707317073170732</x:v>
      </x:c>
      <x:c r="Q21" s="23" t="n">
        <x:f>IF(F21=0,"",L21/F21)</x:f>
        <x:v>16.536585365853657</x:v>
      </x:c>
      <x:c r="R21" s="20" t="n">
        <x:f>IF(G21=0,"",H21/G21)</x:f>
        <x:v>0.2846169325858847</x:v>
      </x:c>
    </x:row>
    <x:row r="22">
      <x:c r="A22" t="str">
        <x:v>Reward Story F</x:v>
      </x:c>
      <x:c r="B22" t="str">
        <x:v>Social Lifestyle</x:v>
      </x:c>
      <x:c r="C22" t="str">
        <x:v>Social Network</x:v>
      </x:c>
      <x:c r="D22" t="n">
        <x:v>2213</x:v>
      </x:c>
      <x:c r="E22" t="n">
        <x:v>146</x:v>
      </x:c>
      <x:c r="F22" t="n">
        <x:v>29</x:v>
      </x:c>
      <x:c r="G22" s="21" t="n">
        <x:v>67.58</x:v>
      </x:c>
      <x:c r="H22" s="21" t="n">
        <x:v>13.3488</x:v>
      </x:c>
      <x:c r="I22" t="n">
        <x:v>29</x:v>
      </x:c>
      <x:c r="J22" t="n">
        <x:v>2</x:v>
      </x:c>
      <x:c r="K22" t="n">
        <x:v>83</x:v>
      </x:c>
      <x:c r="L22" t="n">
        <x:v>324</x:v>
      </x:c>
      <x:c r="M22" s="22" t="n">
        <x:f>IF(F22=0,"",G22/F22)</x:f>
        <x:v>2.330344827586207</x:v>
      </x:c>
      <x:c r="N22" s="20" t="n">
        <x:f>IF(D22=0,"",E22/D22)</x:f>
        <x:v>0.06597379123361952</x:v>
      </x:c>
      <x:c r="O22" s="20" t="n">
        <x:f>IF(I22=0,"",J22/I22)</x:f>
        <x:v>0.06896551724137931</x:v>
      </x:c>
      <x:c r="P22" s="23" t="n">
        <x:f>IF(F22=0,"",K22/F22)</x:f>
        <x:v>2.8620689655172415</x:v>
      </x:c>
      <x:c r="Q22" s="23" t="n">
        <x:f>IF(F22=0,"",L22/F22)</x:f>
        <x:v>11.172413793103448</x:v>
      </x:c>
      <x:c r="R22" s="20" t="n">
        <x:f>IF(G22=0,"",H22/G22)</x:f>
        <x:v>0.19752589523527672</x:v>
      </x:c>
    </x:row>
    <x:row r="23">
      <x:c r="A23" t="str">
        <x:v>Progress Video A</x:v>
      </x:c>
      <x:c r="B23" t="str">
        <x:v>Search Value Global</x:v>
      </x:c>
      <x:c r="C23" t="str">
        <x:v>Search Network</x:v>
      </x:c>
      <x:c r="D23" t="n">
        <x:v>4441</x:v>
      </x:c>
      <x:c r="E23" t="n">
        <x:v>373</x:v>
      </x:c>
      <x:c r="F23" t="n">
        <x:v>57</x:v>
      </x:c>
      <x:c r="G23" s="21" t="n">
        <x:v>66.32</x:v>
      </x:c>
      <x:c r="H23" s="21" t="n">
        <x:v>34.5978</x:v>
      </x:c>
      <x:c r="I23" t="n">
        <x:v>42</x:v>
      </x:c>
      <x:c r="J23" t="n">
        <x:v>3</x:v>
      </x:c>
      <x:c r="K23" t="n">
        <x:v>171</x:v>
      </x:c>
      <x:c r="L23" t="n">
        <x:v>726</x:v>
      </x:c>
      <x:c r="M23" s="22" t="n">
        <x:f>IF(F23=0,"",G23/F23)</x:f>
        <x:v>1.1635087719298245</x:v>
      </x:c>
      <x:c r="N23" s="20" t="n">
        <x:f>IF(D23=0,"",E23/D23)</x:f>
        <x:v>0.0839900923215492</x:v>
      </x:c>
      <x:c r="O23" s="20" t="n">
        <x:f>IF(I23=0,"",J23/I23)</x:f>
        <x:v>0.07142857142857142</x:v>
      </x:c>
      <x:c r="P23" s="23" t="n">
        <x:f>IF(F23=0,"",K23/F23)</x:f>
        <x:v>3</x:v>
      </x:c>
      <x:c r="Q23" s="23" t="n">
        <x:f>IF(F23=0,"",L23/F23)</x:f>
        <x:v>12.736842105263158</x:v>
      </x:c>
      <x:c r="R23" s="20" t="n">
        <x:f>IF(G23=0,"",H23/G23)</x:f>
        <x:v>0.5216797346200241</x:v>
      </x:c>
    </x:row>
    <x:row r="24">
      <x:c r="A24" t="str">
        <x:v>Reward Story A</x:v>
      </x:c>
      <x:c r="B24" t="str">
        <x:v>Search Value Global</x:v>
      </x:c>
      <x:c r="C24" t="str">
        <x:v>Search Network</x:v>
      </x:c>
      <x:c r="D24" t="n">
        <x:v>3786</x:v>
      </x:c>
      <x:c r="E24" t="n">
        <x:v>302</x:v>
      </x:c>
      <x:c r="F24" t="n">
        <x:v>52</x:v>
      </x:c>
      <x:c r="G24" s="21" t="n">
        <x:v>56.65</x:v>
      </x:c>
      <x:c r="H24" s="21" t="n">
        <x:v>10.0989</x:v>
      </x:c>
      <x:c r="I24" t="n">
        <x:v>38</x:v>
      </x:c>
      <x:c r="J24" t="n">
        <x:v>3</x:v>
      </x:c>
      <x:c r="K24" t="n">
        <x:v>147</x:v>
      </x:c>
      <x:c r="L24" t="n">
        <x:v>595</x:v>
      </x:c>
      <x:c r="M24" s="22" t="n">
        <x:f>IF(F24=0,"",G24/F24)</x:f>
        <x:v>1.0894230769230768</x:v>
      </x:c>
      <x:c r="N24" s="20" t="n">
        <x:f>IF(D24=0,"",E24/D24)</x:f>
        <x:v>0.0797675647120972</x:v>
      </x:c>
      <x:c r="O24" s="20" t="n">
        <x:f>IF(I24=0,"",J24/I24)</x:f>
        <x:v>0.07894736842105263</x:v>
      </x:c>
      <x:c r="P24" s="23" t="n">
        <x:f>IF(F24=0,"",K24/F24)</x:f>
        <x:v>2.826923076923077</x:v>
      </x:c>
      <x:c r="Q24" s="23" t="n">
        <x:f>IF(F24=0,"",L24/F24)</x:f>
        <x:v>11.442307692307692</x:v>
      </x:c>
      <x:c r="R24" s="20" t="n">
        <x:f>IF(G24=0,"",H24/G24)</x:f>
        <x:v>0.17826831421006178</x:v>
      </x:c>
    </x:row>
    <x:row r="25">
      <x:c r="A25" t="str">
        <x:v>Playable Puzzle A</x:v>
      </x:c>
      <x:c r="B25" t="str">
        <x:v>Search Value Global</x:v>
      </x:c>
      <x:c r="C25" t="str">
        <x:v>Search Network</x:v>
      </x:c>
      <x:c r="D25" t="n">
        <x:v>3671</x:v>
      </x:c>
      <x:c r="E25" t="n">
        <x:v>282</x:v>
      </x:c>
      <x:c r="F25" t="n">
        <x:v>47</x:v>
      </x:c>
      <x:c r="G25" s="21" t="n">
        <x:v>54.06</x:v>
      </x:c>
      <x:c r="H25" s="21" t="n">
        <x:v>44.80200000000001</x:v>
      </x:c>
      <x:c r="I25" t="n">
        <x:v>38</x:v>
      </x:c>
      <x:c r="J25" t="n">
        <x:v>1</x:v>
      </x:c>
      <x:c r="K25" t="n">
        <x:v>120</x:v>
      </x:c>
      <x:c r="L25" t="n">
        <x:v>522</x:v>
      </x:c>
      <x:c r="M25" s="22" t="n">
        <x:f>IF(F25=0,"",G25/F25)</x:f>
        <x:v>1.1502127659574468</x:v>
      </x:c>
      <x:c r="N25" s="20" t="n">
        <x:f>IF(D25=0,"",E25/D25)</x:f>
        <x:v>0.07681830563879052</x:v>
      </x:c>
      <x:c r="O25" s="20" t="n">
        <x:f>IF(I25=0,"",J25/I25)</x:f>
        <x:v>0.02631578947368421</x:v>
      </x:c>
      <x:c r="P25" s="23" t="n">
        <x:f>IF(F25=0,"",K25/F25)</x:f>
        <x:v>2.5531914893617023</x:v>
      </x:c>
      <x:c r="Q25" s="23" t="n">
        <x:f>IF(F25=0,"",L25/F25)</x:f>
        <x:v>11.106382978723405</x:v>
      </x:c>
      <x:c r="R25" s="20" t="n">
        <x:f>IF(G25=0,"",H25/G25)</x:f>
        <x:v>0.8287458379578247</x:v>
      </x:c>
    </x:row>
    <x:row r="26">
      <x:c r="A26" t="str">
        <x:v>Progress Video G</x:v>
      </x:c>
      <x:c r="B26" t="str">
        <x:v>Discovery Rewarded</x:v>
      </x:c>
      <x:c r="C26" t="str">
        <x:v>Discovery Network</x:v>
      </x:c>
      <x:c r="D26" t="n">
        <x:v>2551</x:v>
      </x:c>
      <x:c r="E26" t="n">
        <x:v>199</x:v>
      </x:c>
      <x:c r="F26" t="n">
        <x:v>35</x:v>
      </x:c>
      <x:c r="G26" s="21" t="n">
        <x:v>35.71</x:v>
      </x:c>
      <x:c r="H26" s="21" t="n">
        <x:v>12.8751</x:v>
      </x:c>
      <x:c r="I26" t="n">
        <x:v>35</x:v>
      </x:c>
      <x:c r="J26" t="n">
        <x:v>1</x:v>
      </x:c>
      <x:c r="K26" t="n">
        <x:v>84</x:v>
      </x:c>
      <x:c r="L26" t="n">
        <x:v>300</x:v>
      </x:c>
      <x:c r="M26" s="22" t="n">
        <x:f>IF(F26=0,"",G26/F26)</x:f>
        <x:v>1.0202857142857142</x:v>
      </x:c>
      <x:c r="N26" s="20" t="n">
        <x:f>IF(D26=0,"",E26/D26)</x:f>
        <x:v>0.07800862406899255</x:v>
      </x:c>
      <x:c r="O26" s="20" t="n">
        <x:f>IF(I26=0,"",J26/I26)</x:f>
        <x:v>0.02857142857142857</x:v>
      </x:c>
      <x:c r="P26" s="23" t="n">
        <x:f>IF(F26=0,"",K26/F26)</x:f>
        <x:v>2.4</x:v>
      </x:c>
      <x:c r="Q26" s="23" t="n">
        <x:f>IF(F26=0,"",L26/F26)</x:f>
        <x:v>8.571428571428571</x:v>
      </x:c>
      <x:c r="R26" s="20" t="n">
        <x:f>IF(G26=0,"",H26/G26)</x:f>
        <x:v>0.36054606552786334</x:v>
      </x:c>
    </x:row>
    <x:row r="27">
      <x:c r="A27" t="str">
        <x:v>Playable Puzzle G</x:v>
      </x:c>
      <x:c r="B27" t="str">
        <x:v>Discovery Rewarded</x:v>
      </x:c>
      <x:c r="C27" t="str">
        <x:v>Discovery Network</x:v>
      </x:c>
      <x:c r="D27" t="n">
        <x:v>2731</x:v>
      </x:c>
      <x:c r="E27" t="n">
        <x:v>188</x:v>
      </x:c>
      <x:c r="F27" t="n">
        <x:v>33</x:v>
      </x:c>
      <x:c r="G27" s="21" t="n">
        <x:v>34.94</x:v>
      </x:c>
      <x:c r="H27" s="21" t="n">
        <x:v>24.2548</x:v>
      </x:c>
      <x:c r="I27" t="n">
        <x:v>33</x:v>
      </x:c>
      <x:c r="J27" t="n">
        <x:v>1</x:v>
      </x:c>
      <x:c r="K27" t="n">
        <x:v>92</x:v>
      </x:c>
      <x:c r="L27" t="n">
        <x:v>373</x:v>
      </x:c>
      <x:c r="M27" s="22" t="n">
        <x:f>IF(F27=0,"",G27/F27)</x:f>
        <x:v>1.0587878787878786</x:v>
      </x:c>
      <x:c r="N27" s="20" t="n">
        <x:f>IF(D27=0,"",E27/D27)</x:f>
        <x:v>0.06883925302087147</x:v>
      </x:c>
      <x:c r="O27" s="20" t="n">
        <x:f>IF(I27=0,"",J27/I27)</x:f>
        <x:v>0.030303030303030304</x:v>
      </x:c>
      <x:c r="P27" s="23" t="n">
        <x:f>IF(F27=0,"",K27/F27)</x:f>
        <x:v>2.787878787878788</x:v>
      </x:c>
      <x:c r="Q27" s="23" t="n">
        <x:f>IF(F27=0,"",L27/F27)</x:f>
        <x:v>11.303030303030303</x:v>
      </x:c>
      <x:c r="R27" s="20" t="n">
        <x:f>IF(G27=0,"",H27/G27)</x:f>
        <x:v>0.6941843159702347</x:v>
      </x:c>
    </x:row>
    <x:row r="28">
      <x:c r="A28" t="str">
        <x:v>Reward Story G</x:v>
      </x:c>
      <x:c r="B28" t="str">
        <x:v>Discovery Rewarded</x:v>
      </x:c>
      <x:c r="C28" t="str">
        <x:v>Discovery Network</x:v>
      </x:c>
      <x:c r="D28" t="n">
        <x:v>2382</x:v>
      </x:c>
      <x:c r="E28" t="n">
        <x:v>173</x:v>
      </x:c>
      <x:c r="F28" t="n">
        <x:v>33</x:v>
      </x:c>
      <x:c r="G28" s="21" t="n">
        <x:v>31.18</x:v>
      </x:c>
      <x:c r="H28" s="21" t="n">
        <x:v>9.445</x:v>
      </x:c>
      <x:c r="I28" t="n">
        <x:v>33</x:v>
      </x:c>
      <x:c r="J28" t="n">
        <x:v>0</x:v>
      </x:c>
      <x:c r="K28" t="n">
        <x:v>72</x:v>
      </x:c>
      <x:c r="L28" t="n">
        <x:v>308</x:v>
      </x:c>
      <x:c r="M28" s="22" t="n">
        <x:f>IF(F28=0,"",G28/F28)</x:f>
        <x:v>0.9448484848484848</x:v>
      </x:c>
      <x:c r="N28" s="20" t="n">
        <x:f>IF(D28=0,"",E28/D28)</x:f>
        <x:v>0.07262804366078925</x:v>
      </x:c>
      <x:c r="O28" s="20" t="n">
        <x:f>IF(I28=0,"",J28/I28)</x:f>
        <x:v>0</x:v>
      </x:c>
      <x:c r="P28" s="23" t="n">
        <x:f>IF(F28=0,"",K28/F28)</x:f>
        <x:v>2.1818181818181817</x:v>
      </x:c>
      <x:c r="Q28" s="23" t="n">
        <x:f>IF(F28=0,"",L28/F28)</x:f>
        <x:v>9.333333333333334</x:v>
      </x:c>
      <x:c r="R28" s="20" t="n">
        <x:f>IF(G28=0,"",H28/G28)</x:f>
        <x:v>0.3029185375240539</x:v>
      </x:c>
    </x:row>
  </x:sheetData>
  <x:mergeCells>
    <x:mergeCell ref="A1:H1"/>
    <x:mergeCell ref="A2:H2"/>
  </x:mergeCells>
  <x:conditionalFormatting sqref="O5:O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" t="str">
        <x:v>Mobile Game Marketing Performance</x:v>
      </x:c>
    </x:row>
    <x:row r="2">
      <x:c r="A2" s="2" t="str">
        <x:v>August 2025 | Mature-cohort return rates</x:v>
      </x:c>
    </x:row>
    <x:row r="4">
      <x:c r="A4" s="19" t="str">
        <x:v>Return day</x:v>
      </x:c>
      <x:c r="B4" s="19" t="str">
        <x:v>Eligible players</x:v>
      </x:c>
      <x:c r="C4" s="19" t="str">
        <x:v>Returned players</x:v>
      </x:c>
      <x:c r="D4" s="19" t="str">
        <x:v>Retention</x:v>
      </x:c>
      <x:c r="E4" s="19" t="str">
        <x:v>Churn</x:v>
      </x:c>
    </x:row>
    <x:row r="5">
      <x:c r="A5" t="str">
        <x:v>D1</x:v>
      </x:c>
      <x:c r="B5" t="n">
        <x:v>1476</x:v>
      </x:c>
      <x:c r="C5" t="n">
        <x:v>558</x:v>
      </x:c>
      <x:c r="D5" s="20" t="n">
        <x:v>0.3780487804878049</x:v>
      </x:c>
      <x:c r="E5" s="20" t="n">
        <x:v>0.6219512195121951</x:v>
      </x:c>
    </x:row>
    <x:row r="6">
      <x:c r="A6" t="str">
        <x:v>D3</x:v>
      </x:c>
      <x:c r="B6" t="n">
        <x:v>1379</x:v>
      </x:c>
      <x:c r="C6" t="n">
        <x:v>242</x:v>
      </x:c>
      <x:c r="D6" s="20" t="n">
        <x:v>0.1754894851341552</x:v>
      </x:c>
      <x:c r="E6" s="20" t="n">
        <x:v>0.8245105148658448</x:v>
      </x:c>
    </x:row>
    <x:row r="7">
      <x:c r="A7" t="str">
        <x:v>D7</x:v>
      </x:c>
      <x:c r="B7" t="n">
        <x:v>1224</x:v>
      </x:c>
      <x:c r="C7" t="n">
        <x:v>107</x:v>
      </x:c>
      <x:c r="D7" s="20" t="n">
        <x:v>0.08741830065359477</x:v>
      </x:c>
      <x:c r="E7" s="20" t="n">
        <x:v>0.9125816993464052</x:v>
      </x:c>
    </x:row>
    <x:row r="8">
      <x:c r="A8" t="str">
        <x:v>D14</x:v>
      </x:c>
      <x:c r="B8" t="n">
        <x:v>888</x:v>
      </x:c>
      <x:c r="C8" t="n">
        <x:v>34</x:v>
      </x:c>
      <x:c r="D8" s="20" t="n">
        <x:v>0.038288288288288286</x:v>
      </x:c>
      <x:c r="E8" s="20" t="n">
        <x:v>0.9617117117117118</x:v>
      </x:c>
    </x:row>
    <x:row r="11">
      <x:c r="A11" s="19" t="str">
        <x:v>Campaign</x:v>
      </x:c>
      <x:c r="B11" s="19" t="str">
        <x:v>D1</x:v>
      </x:c>
      <x:c r="C11" s="19" t="str">
        <x:v>D3</x:v>
      </x:c>
      <x:c r="D11" s="19" t="str">
        <x:v>D7</x:v>
      </x:c>
      <x:c r="E11" s="19" t="str">
        <x:v>D14</x:v>
      </x:c>
      <x:c r="F11" s="19" t="str">
        <x:v>Life cycle</x:v>
      </x:c>
    </x:row>
    <x:row r="12">
      <x:c r="A12" t="str">
        <x:v>Playable Premium</x:v>
      </x:c>
      <x:c r="B12" s="20" t="n">
        <x:v>0.45528455284552843</x:v>
      </x:c>
      <x:c r="C12" s="20" t="n">
        <x:v>0.2577777777777778</x:v>
      </x:c>
      <x:c r="D12" s="20" t="n">
        <x:v>0.12690355329949238</x:v>
      </x:c>
      <x:c r="E12" s="20" t="n">
        <x:v>0.07936507936507936</x:v>
      </x:c>
      <x:c r="F12" t="str">
        <x:v>active</x:v>
      </x:c>
    </x:row>
    <x:row r="13">
      <x:c r="A13" t="str">
        <x:v>Store Intent</x:v>
      </x:c>
      <x:c r="B13" s="20" t="n">
        <x:v>0.4895833333333333</x:v>
      </x:c>
      <x:c r="C13" s="20" t="n">
        <x:v>0.20903954802259886</x:v>
      </x:c>
      <x:c r="D13" s="20" t="n">
        <x:v>0.13333333333333333</x:v>
      </x:c>
      <x:c r="E13" s="20" t="n">
        <x:v>0.03508771929824561</x:v>
      </x:c>
      <x:c r="F13" t="str">
        <x:v>active</x:v>
      </x:c>
    </x:row>
    <x:row r="14">
      <x:c r="A14" t="str">
        <x:v>Social Gameplay</x:v>
      </x:c>
      <x:c r="B14" s="20" t="n">
        <x:v>0.337037037037037</x:v>
      </x:c>
      <x:c r="C14" s="20" t="n">
        <x:v>0.1568627450980392</x:v>
      </x:c>
      <x:c r="D14" s="20" t="n">
        <x:v>0.08372093023255814</x:v>
      </x:c>
      <x:c r="E14" s="20" t="n">
        <x:v>0.03597122302158273</x:v>
      </x:c>
      <x:c r="F14" t="str">
        <x:v>active</x:v>
      </x:c>
    </x:row>
    <x:row r="15">
      <x:c r="A15" t="str">
        <x:v>Playable Broad</x:v>
      </x:c>
      <x:c r="B15" s="20" t="n">
        <x:v>0.4618055555555556</x:v>
      </x:c>
      <x:c r="C15" s="20" t="n">
        <x:v>0.22988505747126436</x:v>
      </x:c>
      <x:c r="D15" s="20" t="n">
        <x:v>0.09130434782608696</x:v>
      </x:c>
      <x:c r="E15" s="20" t="n">
        <x:v>0.043209876543209874</x:v>
      </x:c>
      <x:c r="F15" t="str">
        <x:v>active</x:v>
      </x:c>
    </x:row>
    <x:row r="16">
      <x:c r="A16" t="str">
        <x:v>Search Value North</x:v>
      </x:c>
      <x:c r="B16" s="20" t="n">
        <x:v>0.31386861313868614</x:v>
      </x:c>
      <x:c r="C16" s="20" t="n">
        <x:v>0.1640625</x:v>
      </x:c>
      <x:c r="D16" s="20" t="n">
        <x:v>0.05128205128205128</x:v>
      </x:c>
      <x:c r="E16" s="20" t="n">
        <x:v>0.037037037037037035</x:v>
      </x:c>
      <x:c r="F16" t="str">
        <x:v>active</x:v>
      </x:c>
    </x:row>
    <x:row r="17">
      <x:c r="A17" t="str">
        <x:v>Social Lifestyle</x:v>
      </x:c>
      <x:c r="B17" s="20" t="n">
        <x:v>0.28125</x:v>
      </x:c>
      <x:c r="C17" s="20" t="n">
        <x:v>0.08333333333333333</x:v>
      </x:c>
      <x:c r="D17" s="20" t="n">
        <x:v>0.08333333333333333</x:v>
      </x:c>
      <x:c r="E17" s="20" t="n">
        <x:v>0.010752688172043012</x:v>
      </x:c>
      <x:c r="F17" t="str">
        <x:v>stopped</x:v>
      </x:c>
    </x:row>
    <x:row r="18">
      <x:c r="A18" t="str">
        <x:v>Search Value Global</x:v>
      </x:c>
      <x:c r="B18" s="20" t="n">
        <x:v>0.23972602739726026</x:v>
      </x:c>
      <x:c r="C18" s="20" t="n">
        <x:v>0.08088235294117647</x:v>
      </x:c>
      <x:c r="D18" s="20" t="n">
        <x:v>0.059322033898305086</x:v>
      </x:c>
      <x:c r="E18" s="20" t="n">
        <x:v>0.012987012987012988</x:v>
      </x:c>
      <x:c r="F18" t="str">
        <x:v>active</x:v>
      </x:c>
    </x:row>
    <x:row r="19">
      <x:c r="A19" t="str">
        <x:v>Discovery Rewarded</x:v>
      </x:c>
      <x:c r="B19" s="20" t="n">
        <x:v>0.22772277227722773</x:v>
      </x:c>
      <x:c r="C19" s="20" t="n">
        <x:v>0.06930693069306931</x:v>
      </x:c>
      <x:c r="D19" s="20" t="n">
        <x:v>0.019801980198019802</x:v>
      </x:c>
      <x:c r="E19" s="20" t="n">
        <x:v>0.03125</x:v>
      </x:c>
      <x:c r="F19" t="str">
        <x:v>stopped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0" hidden="0" customWidth="1"/>
  </x:cols>
  <x:sheetData>
    <x:row r="1">
      <x:c r="A1" s="1" t="str">
        <x:v>Mobile Game Marketing Performance</x:v>
      </x:c>
    </x:row>
    <x:row r="2">
      <x:c r="A2" s="2" t="str">
        <x:v>August 2025 | Cleaning and reconciliation checks</x:v>
      </x:c>
    </x:row>
    <x:row r="4">
      <x:c r="A4" s="19" t="str">
        <x:v>Check</x:v>
      </x:c>
      <x:c r="B4" s="19" t="str">
        <x:v>Result</x:v>
      </x:c>
      <x:c r="C4" s="19" t="str">
        <x:v>Definition</x:v>
      </x:c>
    </x:row>
    <x:row r="5">
      <x:c r="A5" t="str">
        <x:v>Validation status</x:v>
      </x:c>
      <x:c r="B5" s="25" t="str">
        <x:v>PASS</x:v>
      </x:c>
      <x:c r="C5" t="str">
        <x:v>All blocking checks</x:v>
      </x:c>
    </x:row>
    <x:row r="6">
      <x:c r="A6" t="str">
        <x:v>Raw players</x:v>
      </x:c>
      <x:c r="B6" t="n">
        <x:v>1600</x:v>
      </x:c>
      <x:c r="C6" t="str">
        <x:v>Before test-market exclusion</x:v>
      </x:c>
    </x:row>
    <x:row r="7">
      <x:c r="A7" t="str">
        <x:v>Clean players</x:v>
      </x:c>
      <x:c r="B7" t="n">
        <x:v>1527</x:v>
      </x:c>
      <x:c r="C7" t="str">
        <x:v>Portfolio acquisition population</x:v>
      </x:c>
    </x:row>
    <x:row r="8">
      <x:c r="A8" t="str">
        <x:v>Excluded test-market players</x:v>
      </x:c>
      <x:c r="B8" t="n">
        <x:v>73</x:v>
      </x:c>
      <x:c r="C8" t="str">
        <x:v>Removed before metric calculation</x:v>
      </x:c>
    </x:row>
    <x:row r="9">
      <x:c r="A9" t="str">
        <x:v>Raw events</x:v>
      </x:c>
      <x:c r="B9" t="n">
        <x:v>47607</x:v>
      </x:c>
      <x:c r="C9" t="str">
        <x:v>Before event cleaning</x:v>
      </x:c>
    </x:row>
    <x:row r="10">
      <x:c r="A10" t="str">
        <x:v>Duplicate events removed</x:v>
      </x:c>
      <x:c r="B10" t="n">
        <x:v>10</x:v>
      </x:c>
      <x:c r="C10" t="str">
        <x:v>Duplicate event identifier</x:v>
      </x:c>
    </x:row>
    <x:row r="11">
      <x:c r="A11" t="str">
        <x:v>Pre-install events removed</x:v>
      </x:c>
      <x:c r="B11" t="n">
        <x:v>7</x:v>
      </x:c>
      <x:c r="C11" t="str">
        <x:v>Timestamp earlier than install</x:v>
      </x:c>
    </x:row>
    <x:row r="12">
      <x:c r="A12" t="str">
        <x:v>Clean events</x:v>
      </x:c>
      <x:c r="B12" t="n">
        <x:v>45540</x:v>
      </x:c>
      <x:c r="C12" t="str">
        <x:v>Final behavioral event population</x:v>
      </x:c>
    </x:row>
    <x:row r="13">
      <x:c r="A13" t="str">
        <x:v>Duplicate device IDs</x:v>
      </x:c>
      <x:c r="B13" t="n">
        <x:v>0</x:v>
      </x:c>
      <x:c r="C13" t="str">
        <x:v>Must equal zero</x:v>
      </x:c>
    </x:row>
    <x:row r="14">
      <x:c r="A14" t="str">
        <x:v>Orphan event devices</x:v>
      </x:c>
      <x:c r="B14" t="n">
        <x:v>0</x:v>
      </x:c>
      <x:c r="C14" t="str">
        <x:v>Must equal zero</x:v>
      </x:c>
    </x:row>
    <x:row r="15">
      <x:c r="A15" t="str">
        <x:v>Negative spend rows</x:v>
      </x:c>
      <x:c r="B15" t="n">
        <x:v>0</x:v>
      </x:c>
      <x:c r="C15" t="str">
        <x:v>Must equal zero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</x:cols>
  <x:sheetData>
    <x:row r="1">
      <x:c r="A1" s="1" t="str">
        <x:v>Mobile Game Marketing Performance</x:v>
      </x:c>
    </x:row>
    <x:row r="2">
      <x:c r="A2" s="2" t="str">
        <x:v>August 2025 | Metric definitions and limitations</x:v>
      </x:c>
    </x:row>
    <x:row r="4">
      <x:c r="A4" s="19" t="str">
        <x:v>Term</x:v>
      </x:c>
      <x:c r="B4" s="19" t="str">
        <x:v>Definition</x:v>
      </x:c>
    </x:row>
    <x:row r="5">
      <x:c r="A5" t="str">
        <x:v>CPI</x:v>
      </x:c>
      <x:c r="B5" s="26" t="str">
        <x:v>Synthetic spend divided by acquired players</x:v>
      </x:c>
    </x:row>
    <x:row r="6">
      <x:c r="A6" t="str">
        <x:v>CTR</x:v>
      </x:c>
      <x:c r="B6" s="26" t="str">
        <x:v>Clicks divided by impressions</x:v>
      </x:c>
    </x:row>
    <x:row r="7">
      <x:c r="A7" t="str">
        <x:v>CVR</x:v>
      </x:c>
      <x:c r="B7" s="26" t="str">
        <x:v>Reported installs divided by clicks</x:v>
      </x:c>
    </x:row>
    <x:row r="8">
      <x:c r="A8" t="str">
        <x:v>D1 D3 D7 D14 retention</x:v>
      </x:c>
      <x:c r="B8" s="26" t="str">
        <x:v>Exact-day session return divided by mature eligible players</x:v>
      </x:c>
    </x:row>
    <x:row r="9">
      <x:c r="A9" t="str">
        <x:v>ROAS</x:v>
      </x:c>
      <x:c r="B9" s="26" t="str">
        <x:v>Synthetic advertising and purchase revenue divided by synthetic spend</x:v>
      </x:c>
    </x:row>
    <x:row r="10">
      <x:c r="A10" t="str">
        <x:v>Cost per D7 retained player</x:v>
      </x:c>
      <x:c r="B10" s="26" t="str">
        <x:v>Synthetic spend divided by players returning on Day 7</x:v>
      </x:c>
    </x:row>
    <x:row r="11">
      <x:c r="A11" t="str">
        <x:v>Tracked player</x:v>
      </x:c>
      <x:c r="B11" s="26" t="str">
        <x:v>Acquired player with at least one qualifying post-install event</x:v>
      </x:c>
    </x:row>
    <x:row r="12">
      <x:c r="A12" t="str">
        <x:v>Limitation</x:v>
      </x:c>
      <x:c r="B12" s="26" t="str">
        <x:v>This workbook is a fictional portfolio demonstration and is not a commercial forecast</x:v>
      </x:c>
    </x:row>
  </x:sheetData>
  <x:mergeCells>
    <x:mergeCell ref="A1:H1"/>
    <x:mergeCell ref="A2:H2"/>
  </x:mergeCells>
  <x:pageMargins left="0.7" right="0.7" top="0.75" bottom="0.75" header="0.3" footer="0.3"/>
</x:worksheet>
</file>